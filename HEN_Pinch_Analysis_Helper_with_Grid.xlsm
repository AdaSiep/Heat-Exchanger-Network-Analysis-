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927" codeName="{52B413DB-416B-A148-0A32-6202AF4EA34E}"/>
  <workbookPr codeName="DieseArbeitsmappe" defaultThemeVersion="202300"/>
  <mc:AlternateContent xmlns:mc="http://schemas.openxmlformats.org/markup-compatibility/2006">
    <mc:Choice Requires="x15">
      <x15ac:absPath xmlns:x15ac="http://schemas.microsoft.com/office/spreadsheetml/2010/11/ac" url="/Users/adasiepmann/Desktop/Engineering Glossay/HEN/"/>
    </mc:Choice>
  </mc:AlternateContent>
  <xr:revisionPtr revIDLastSave="0" documentId="13_ncr:1_{000D90CF-2E7F-5C45-B17F-39BC21461C79}" xr6:coauthVersionLast="47" xr6:coauthVersionMax="47" xr10:uidLastSave="{00000000-0000-0000-0000-000000000000}"/>
  <bookViews>
    <workbookView xWindow="0" yWindow="740" windowWidth="29400" windowHeight="17100" xr2:uid="{00000000-000D-0000-FFFF-FFFF00000000}"/>
  </bookViews>
  <sheets>
    <sheet name="Input Data" sheetId="1" r:id="rId1"/>
    <sheet name="Stream Data" sheetId="2" r:id="rId2"/>
    <sheet name="Cascade" sheetId="3" r:id="rId3"/>
    <sheet name="Grid Diagram" sheetId="5" r:id="rId4"/>
    <sheet name="VBA Code" sheetId="4" r:id="rId5"/>
  </sheets>
  <definedNames>
    <definedName name="_xlnm.Print_Area" localSheetId="3">'Grid Diagram'!$A$1:$P$17</definedName>
  </definedNames>
  <calcPr calcId="191028" forceFullCalc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N4" i="5" l="1"/>
  <c r="K4" i="5"/>
  <c r="F4" i="5"/>
  <c r="C4" i="5"/>
  <c r="I5" i="2"/>
  <c r="F5" i="2"/>
  <c r="L5" i="2" s="1"/>
  <c r="K5" i="2"/>
  <c r="J5" i="2"/>
  <c r="I4" i="2"/>
  <c r="F4" i="2"/>
  <c r="L4" i="2" s="1"/>
  <c r="K4" i="2"/>
  <c r="J4" i="2"/>
  <c r="I3" i="2"/>
  <c r="F3" i="2"/>
  <c r="L3" i="2" s="1"/>
  <c r="K3" i="2"/>
  <c r="J3" i="2"/>
  <c r="I2" i="2"/>
  <c r="F2" i="2"/>
  <c r="L2" i="2" s="1"/>
  <c r="K2" i="2"/>
  <c r="J2" i="2"/>
</calcChain>
</file>

<file path=xl/sharedStrings.xml><?xml version="1.0" encoding="utf-8"?>
<sst xmlns="http://schemas.openxmlformats.org/spreadsheetml/2006/main" count="317" uniqueCount="275">
  <si>
    <t>Number of hot streams</t>
  </si>
  <si>
    <t>Number of cold streams</t>
  </si>
  <si>
    <t>Delta T min [°C/K]</t>
  </si>
  <si>
    <t>Stream Data Sheet Name</t>
  </si>
  <si>
    <t>Stream Data</t>
  </si>
  <si>
    <t>STEP 1</t>
  </si>
  <si>
    <t>Create / reset stream input tables</t>
  </si>
  <si>
    <t>STEP 2</t>
  </si>
  <si>
    <t>Create temperature intervals and heat cascade</t>
  </si>
  <si>
    <t>STEP 3</t>
  </si>
  <si>
    <t>Create grid diagram</t>
  </si>
  <si>
    <t>Stream</t>
  </si>
  <si>
    <t>T End [°C]</t>
  </si>
  <si>
    <t>m [kg/s]</t>
  </si>
  <si>
    <t>cp [kJ/(kg·K)]</t>
  </si>
  <si>
    <t>CP = m·cp [kW/K]</t>
  </si>
  <si>
    <t>T Start shifted [°C]</t>
  </si>
  <si>
    <t>T End shifted [°C]</t>
  </si>
  <si>
    <t>CP [kW/K]</t>
  </si>
  <si>
    <t>Delta T min [°C/K</t>
  </si>
  <si>
    <t>H1</t>
  </si>
  <si>
    <t>H2</t>
  </si>
  <si>
    <t>C1</t>
  </si>
  <si>
    <t>C2</t>
  </si>
  <si>
    <t>Interval</t>
  </si>
  <si>
    <t>Upper shifted T [°C]</t>
  </si>
  <si>
    <t>Lower shifted T [°C]</t>
  </si>
  <si>
    <t>Delta T [K]</t>
  </si>
  <si>
    <t>Sum CP hot [kW/K]</t>
  </si>
  <si>
    <t>Sum CP cold [kW/K]</t>
  </si>
  <si>
    <t>Net CP [kW/K]</t>
  </si>
  <si>
    <t>Delta H [kW]</t>
  </si>
  <si>
    <t>Unadjusted cascade [kW]</t>
  </si>
  <si>
    <t>Adjusted cascade [kW]</t>
  </si>
  <si>
    <t>Results</t>
  </si>
  <si>
    <t>QH,min [kW]</t>
  </si>
  <si>
    <t>QC,min [kW]</t>
  </si>
  <si>
    <t>Pinch shifted T [°C]</t>
  </si>
  <si>
    <t>Hot pinch T [°C]</t>
  </si>
  <si>
    <t>Cold pinch T [°C]</t>
  </si>
  <si>
    <t>HEN Grid Diagram</t>
  </si>
  <si>
    <t>ABOVE PINCH: warm region / heat deficit</t>
  </si>
  <si>
    <t>PINCH</t>
  </si>
  <si>
    <t>BELOW PINCH: cold region / heat surplus</t>
  </si>
  <si>
    <t>The grid separates each physical stream at the pinch. It does not yet assign heat-exchanger matches.</t>
  </si>
  <si>
    <t>|</t>
  </si>
  <si>
    <t>VBA installation</t>
  </si>
  <si>
    <t>Copy all code below into one standard VBA module. Then add two Form Control buttons on Input Data and assign CreateStreamTables and CreateCascade.</t>
  </si>
  <si>
    <t>Option Explicit</t>
  </si>
  <si>
    <t>Private Const INPUT_SHEET As String = "Input Data"</t>
  </si>
  <si>
    <t>Private Const DEFAULT_STREAM_SHEET As String = "Stream Data"</t>
  </si>
  <si>
    <t>Private Const CASCADE_SHEET As String = "Cascade"</t>
  </si>
  <si>
    <t>Private Const TOL As Double = 0.000000001</t>
  </si>
  <si>
    <t>Public Sub CreateStreamTables()</t>
  </si>
  <si>
    <t xml:space="preserve">    Dim wsIn As Worksheet, ws As Worksheet</t>
  </si>
  <si>
    <t xml:space="preserve">    Dim nHot As Long, nCold As Long, n As Long, r As Long, i As Long</t>
  </si>
  <si>
    <t xml:space="preserve">    Dim sheetName As String</t>
  </si>
  <si>
    <t xml:space="preserve">    Set wsIn = ThisWorkbook.Worksheets(INPUT_SHEET)</t>
  </si>
  <si>
    <t xml:space="preserve">    If Not IsWholePositive(wsIn.Range("A2").Value) Then MsgBox "Enter a positive whole number of hot streams in A2.", vbExclamation: Exit Sub</t>
  </si>
  <si>
    <t xml:space="preserve">    If Not IsWholePositive(wsIn.Range("B2").Value) Then MsgBox "Enter a positive whole number of cold streams in B2.", vbExclamation: Exit Sub</t>
  </si>
  <si>
    <t xml:space="preserve">    If Not IsNumeric(wsIn.Range("C2").Value) Or CDbl(wsIn.Range("C2").Value) &lt; 0 Then MsgBox "Enter a non-negative Delta T min in C2.", vbExclamation: Exit Sub</t>
  </si>
  <si>
    <t xml:space="preserve">    nHot = CLng(wsIn.Range("A2").Value): nCold = CLng(wsIn.Range("B2").Value)</t>
  </si>
  <si>
    <t xml:space="preserve">    sheetName = Trim$(CStr(wsIn.Range("D2").Value))</t>
  </si>
  <si>
    <t xml:space="preserve">    If sheetName = "" Then sheetName = DEFAULT_STREAM_SHEET</t>
  </si>
  <si>
    <t xml:space="preserve">    Set ws = GetOrCreateSheet(sheetName)</t>
  </si>
  <si>
    <t xml:space="preserve">    ws.Cells.Clear</t>
  </si>
  <si>
    <t xml:space="preserve">    Dim h1 As Variant, h2 As Variant</t>
  </si>
  <si>
    <t xml:space="preserve">    h1 = Array("Stream", "T Start [°C]", "T End [°C]", "m [kg/s]", "cp [kJ/(kg·K)]", "CP = m·cp [kW/K]")</t>
  </si>
  <si>
    <t xml:space="preserve">    h2 = Array("Stream", "T Start shifted [°C]", "T End shifted [°C]", "CP [kW/K]")</t>
  </si>
  <si>
    <t xml:space="preserve">    For i = 0 To UBound(h1): ws.Cells(1, i + 1).Value = h1(i): Next i</t>
  </si>
  <si>
    <t xml:space="preserve">    For i = 0 To UBound(h2): ws.Cells(1, i + 9).Value = h2(i): Next i</t>
  </si>
  <si>
    <t xml:space="preserve">    n = nHot + nCold</t>
  </si>
  <si>
    <t xml:space="preserve">    For i = 1 To n</t>
  </si>
  <si>
    <t xml:space="preserve">        r = i + 1</t>
  </si>
  <si>
    <t xml:space="preserve">        If i &lt;= nHot Then</t>
  </si>
  <si>
    <t xml:space="preserve">            ws.Cells(r, 1).Value = "H" &amp; i</t>
  </si>
  <si>
    <t xml:space="preserve">        Else</t>
  </si>
  <si>
    <t xml:space="preserve">            ws.Cells(r, 1).Value = "C" &amp; (i - nHot)</t>
  </si>
  <si>
    <t xml:space="preserve">        End If</t>
  </si>
  <si>
    <t xml:space="preserve">        ws.Cells(r, 6).FormulaR1C1 = "=IF(COUNT(RC[-2]:RC[-1])=2,RC[-2]*RC[-1],\"\")"</t>
  </si>
  <si>
    <t xml:space="preserve">        ws.Cells(r, 9).FormulaR1C1 = "=RC[-8]"</t>
  </si>
  <si>
    <t xml:space="preserve">        ws.Cells(r, 10).Formula = "=IF(B" &amp; r &amp; "=\"\",\"\",B" &amp; r &amp; "+IF(LEFT(A" &amp; r &amp; ",1)=\"H\",-1,1)*'" &amp; INPUT_SHEET &amp; "'!$C$2/2)"</t>
  </si>
  <si>
    <t xml:space="preserve">        ws.Cells(r, 11).Formula = "=IF(C" &amp; r &amp; "=\"\",\"\",C" &amp; r &amp; "+IF(LEFT(A" &amp; r &amp; ",1)=\"H\",-1,1)*'" &amp; INPUT_SHEET &amp; "'!$C$2/2)"</t>
  </si>
  <si>
    <t xml:space="preserve">        ws.Cells(r, 12).FormulaR1C1 = "=RC[-6]"</t>
  </si>
  <si>
    <t xml:space="preserve">    Next i</t>
  </si>
  <si>
    <t xml:space="preserve">    FormatStreamSheet ws, n + 1, nHot</t>
  </si>
  <si>
    <t xml:space="preserve">    MsgBox "Stream Data and Shifted Stream Data were created.", vbInformation</t>
  </si>
  <si>
    <t>End Sub</t>
  </si>
  <si>
    <t>Public Sub CreateCascade()</t>
  </si>
  <si>
    <t xml:space="preserve">    Dim wsIn As Worksheet, wsS As Worksheet, wsC As Worksheet</t>
  </si>
  <si>
    <t xml:space="preserve">    Dim sheetName As String, lastRow As Long, r As Long, i As Long, j As Long, outRow As Long</t>
  </si>
  <si>
    <t xml:space="preserve">    Dim dict As Object, temps() As Double, t As Double, tmp As Double</t>
  </si>
  <si>
    <t xml:space="preserve">    Dim upperT As Double, lowerT As Double, dT As Double</t>
  </si>
  <si>
    <t xml:space="preserve">    Dim sName As String, tStart As Double, tEnd As Double, cp As Double</t>
  </si>
  <si>
    <t xml:space="preserve">    Dim hotCP As Double, coldCP As Double, netCP As Double, dH As Double</t>
  </si>
  <si>
    <t xml:space="preserve">    Dim cascade As Double, minCascade As Double, qH As Double, qC As Double</t>
  </si>
  <si>
    <t xml:space="preserve">    Dim pinchShifted As Variant</t>
  </si>
  <si>
    <t xml:space="preserve">    sheetName = Trim$(CStr(wsIn.Range("D2").Value)): If sheetName = "" Then sheetName = DEFAULT_STREAM_SHEET</t>
  </si>
  <si>
    <t xml:space="preserve">    Set wsS = ThisWorkbook.Worksheets(sheetName)</t>
  </si>
  <si>
    <t xml:space="preserve">    Set wsC = GetOrCreateSheet(CASCADE_SHEET)</t>
  </si>
  <si>
    <t xml:space="preserve">    lastRow = wsS.Cells(wsS.Rows.Count, "A").End(xlUp).Row</t>
  </si>
  <si>
    <t xml:space="preserve">    If lastRow &lt; 2 Then MsgBox "Create the stream tables first.", vbExclamation: Exit Sub</t>
  </si>
  <si>
    <t xml:space="preserve">    For r = 2 To lastRow</t>
  </si>
  <si>
    <t xml:space="preserve">        If wsS.Cells(r, 2).Value = "" Or wsS.Cells(r, 3).Value = "" Or wsS.Cells(r, 4).Value = "" Or wsS.Cells(r, 5).Value = "" Then</t>
  </si>
  <si>
    <t xml:space="preserve">            MsgBox "Complete all yellow input cells in Stream Data. Missing data in row " &amp; r &amp; ".", vbExclamation: Exit Sub</t>
  </si>
  <si>
    <t xml:space="preserve">        If Not IsNumeric(wsS.Cells(r, 2).Value) Or Not IsNumeric(wsS.Cells(r, 3).Value) Or Not IsNumeric(wsS.Cells(r, 4).Value) Or Not IsNumeric(wsS.Cells(r, 5).Value) Then</t>
  </si>
  <si>
    <t xml:space="preserve">            MsgBox "All stream inputs must be numeric. Check row " &amp; r &amp; ".", vbExclamation: Exit Sub</t>
  </si>
  <si>
    <t xml:space="preserve">        sName = UCase$(Trim$(CStr(wsS.Cells(r, 1).Value)))</t>
  </si>
  <si>
    <t xml:space="preserve">        If Left$(sName, 1) = "H" And CDbl(wsS.Cells(r, 2).Value) &lt;= CDbl(wsS.Cells(r, 3).Value) Then MsgBox "Hot stream " &amp; sName &amp; " must cool: T Start &gt; T End.", vbExclamation: Exit Sub</t>
  </si>
  <si>
    <t xml:space="preserve">        If Left$(sName, 1) = "C" And CDbl(wsS.Cells(r, 2).Value) &gt;= CDbl(wsS.Cells(r, 3).Value) Then MsgBox "Cold stream " &amp; sName &amp; " must heat: T Start &lt; T End.", vbExclamation: Exit Sub</t>
  </si>
  <si>
    <t xml:space="preserve">        If CDbl(wsS.Cells(r, 4).Value) &lt;= 0 Or CDbl(wsS.Cells(r, 5).Value) &lt;= 0 Then MsgBox "m and cp must be positive in row " &amp; r &amp; ".", vbExclamation: Exit Sub</t>
  </si>
  <si>
    <t xml:space="preserve">    Next r</t>
  </si>
  <si>
    <t xml:space="preserve">    Application.Calculate</t>
  </si>
  <si>
    <t xml:space="preserve">    Set dict = CreateObject("Scripting.Dictionary")</t>
  </si>
  <si>
    <t xml:space="preserve">        AddUniqueTemperature dict, CDbl(wsS.Cells(r, 10).Value)</t>
  </si>
  <si>
    <t xml:space="preserve">        AddUniqueTemperature dict, CDbl(wsS.Cells(r, 11).Value)</t>
  </si>
  <si>
    <t xml:space="preserve">    If dict.Count &lt; 2 Then MsgBox "At least two unique shifted temperatures are required.", vbExclamation: Exit Sub</t>
  </si>
  <si>
    <t xml:space="preserve">    ReDim temps(1 To dict.Count)</t>
  </si>
  <si>
    <t xml:space="preserve">    For i = 0 To dict.Count - 1: temps(i + 1) = CDbl(dict.Items()(i)): Next i</t>
  </si>
  <si>
    <t xml:space="preserve">    For i = 1 To UBound(temps) - 1</t>
  </si>
  <si>
    <t xml:space="preserve">        For j = i + 1 To UBound(temps)</t>
  </si>
  <si>
    <t xml:space="preserve">            If temps(i) &lt; temps(j) Then tmp = temps(i): temps(i) = temps(j): temps(j) = tmp</t>
  </si>
  <si>
    <t xml:space="preserve">        Next j</t>
  </si>
  <si>
    <t xml:space="preserve">    wsC.Cells.Clear</t>
  </si>
  <si>
    <t xml:space="preserve">    Dim headers As Variant</t>
  </si>
  <si>
    <t xml:space="preserve">    headers = Array("Interval", "Upper shifted T [°C]", "Lower shifted T [°C]", "Delta T [K]", "Sum CP hot [kW/K]", "Sum CP cold [kW/K]", "Net CP [kW/K]", "Delta H [kW]", "Unadjusted cascade [kW]", "Adjusted cascade [kW]")</t>
  </si>
  <si>
    <t xml:space="preserve">    For i = 0 To UBound(headers): wsC.Cells(1, i + 1).Value = headers(i): Next i</t>
  </si>
  <si>
    <t xml:space="preserve">    cascade = 0: minCascade = 0</t>
  </si>
  <si>
    <t xml:space="preserve">        upperT = temps(i): lowerT = temps(i + 1): dT = upperT - lowerT</t>
  </si>
  <si>
    <t xml:space="preserve">        hotCP = 0: coldCP = 0</t>
  </si>
  <si>
    <t xml:space="preserve">        For r = 2 To lastRow</t>
  </si>
  <si>
    <t xml:space="preserve">            sName = UCase$(Trim$(CStr(wsS.Cells(r, 1).Value)))</t>
  </si>
  <si>
    <t xml:space="preserve">            tStart = CDbl(wsS.Cells(r, 10).Value): tEnd = CDbl(wsS.Cells(r, 11).Value): cp = CDbl(wsS.Cells(r, 12).Value)</t>
  </si>
  <si>
    <t xml:space="preserve">            If Left$(sName, 1) = "H" Then</t>
  </si>
  <si>
    <t xml:space="preserve">                If tStart &gt;= upperT - TOL And tEnd &lt;= lowerT + TOL Then hotCP = hotCP + cp</t>
  </si>
  <si>
    <t xml:space="preserve">            ElseIf Left$(sName, 1) = "C" Then</t>
  </si>
  <si>
    <t xml:space="preserve">                If tEnd &gt;= upperT - TOL And tStart &lt;= lowerT + TOL Then coldCP = coldCP + cp</t>
  </si>
  <si>
    <t xml:space="preserve">            End If</t>
  </si>
  <si>
    <t xml:space="preserve">        Next r</t>
  </si>
  <si>
    <t xml:space="preserve">        netCP = hotCP - coldCP: dH = netCP * dT: cascade = cascade + dH</t>
  </si>
  <si>
    <t xml:space="preserve">        If cascade &lt; minCascade Then minCascade = cascade</t>
  </si>
  <si>
    <t xml:space="preserve">        outRow = i + 1</t>
  </si>
  <si>
    <t xml:space="preserve">        wsC.Cells(outRow, 1).Value = i: wsC.Cells(outRow, 2).Value = upperT: wsC.Cells(outRow, 3).Value = lowerT</t>
  </si>
  <si>
    <t xml:space="preserve">        wsC.Cells(outRow, 4).Value = dT: wsC.Cells(outRow, 5).Value = hotCP: wsC.Cells(outRow, 6).Value = coldCP</t>
  </si>
  <si>
    <t xml:space="preserve">        wsC.Cells(outRow, 7).Value = netCP: wsC.Cells(outRow, 8).Value = dH: wsC.Cells(outRow, 9).Value = cascade</t>
  </si>
  <si>
    <t xml:space="preserve">    qH = -minCascade: cascade = qH: pinchShifted = Empty</t>
  </si>
  <si>
    <t xml:space="preserve">        outRow = i + 1: cascade = cascade + CDbl(wsC.Cells(outRow, 8).Value): wsC.Cells(outRow, 10).Value = cascade</t>
  </si>
  <si>
    <t xml:space="preserve">        If Abs(cascade) &lt; TOL And IsEmpty(pinchShifted) Then pinchShifted = wsC.Cells(outRow, 3).Value</t>
  </si>
  <si>
    <t xml:space="preserve">    qC = cascade</t>
  </si>
  <si>
    <t xml:space="preserve">    wsC.Range("L1").Value = "Results": wsC.Range("L2").Value = "QH,min [kW]": wsC.Range("M2").Value = qH</t>
  </si>
  <si>
    <t xml:space="preserve">    wsC.Range("L3").Value = "QC,min [kW]": wsC.Range("M3").Value = qC</t>
  </si>
  <si>
    <t xml:space="preserve">    wsC.Range("L4").Value = "Pinch shifted T [°C]": If IsEmpty(pinchShifted) Then wsC.Range("M4").Value = "No internal zero" Else wsC.Range("M4").Value = pinchShifted</t>
  </si>
  <si>
    <t xml:space="preserve">    wsC.Range("L5").Value = "Hot pinch T [°C]": If Not IsEmpty(pinchShifted) Then wsC.Range("M5").Value = CDbl(pinchShifted) + CDbl(wsIn.Range("C2").Value) / 2</t>
  </si>
  <si>
    <t xml:space="preserve">    wsC.Range("L6").Value = "Cold pinch T [°C]": If Not IsEmpty(pinchShifted) Then wsC.Range("M6").Value = CDbl(pinchShifted) - CDbl(wsIn.Range("C2").Value) / 2</t>
  </si>
  <si>
    <t xml:space="preserve">    FormatCascadeSheet wsC, UBound(temps)</t>
  </si>
  <si>
    <t xml:space="preserve">    MsgBox "Temperature intervals and heat cascade were created.", vbInformation</t>
  </si>
  <si>
    <t>Private Sub AddUniqueTemperature(ByVal dict As Object, ByVal value As Double)</t>
  </si>
  <si>
    <t xml:space="preserve">    Dim key As String: value = Round(value, 10): key = Format$(value, "0.0000000000")</t>
  </si>
  <si>
    <t xml:space="preserve">    If Not dict.Exists(key) Then dict.Add key, value</t>
  </si>
  <si>
    <t>Private Function IsWholePositive(ByVal value As Variant) As Boolean</t>
  </si>
  <si>
    <t xml:space="preserve">    If Not IsNumeric(value) Then Exit Function</t>
  </si>
  <si>
    <t xml:space="preserve">    IsWholePositive = (CDbl(value) &gt;= 1 And CDbl(value) = Fix(CDbl(value)))</t>
  </si>
  <si>
    <t>End Function</t>
  </si>
  <si>
    <t>Private Function GetOrCreateSheet(ByVal sheetName As String) As Worksheet</t>
  </si>
  <si>
    <t xml:space="preserve">    On Error Resume Next: Set GetOrCreateSheet = ThisWorkbook.Worksheets(sheetName): On Error GoTo 0</t>
  </si>
  <si>
    <t xml:space="preserve">    If GetOrCreateSheet Is Nothing Then Set GetOrCreateSheet = ThisWorkbook.Worksheets.Add(After:=ThisWorkbook.Worksheets(ThisWorkbook.Worksheets.Count)): GetOrCreateSheet.Name = sheetName</t>
  </si>
  <si>
    <t>Private Sub FormatStreamSheet(ByVal ws As Worksheet, ByVal lastRow As Long, ByVal nHot As Long)</t>
  </si>
  <si>
    <t xml:space="preserve">    Dim r As Long</t>
  </si>
  <si>
    <t xml:space="preserve">    ws.Cells.Font.Name = "Aptos": ws.Rows(1).Font.Bold = True: ws.Rows(1).Font.Color = vbWhite</t>
  </si>
  <si>
    <t xml:space="preserve">    ws.Range("A1:F1").Interior.Color = RGB(31, 78, 121): ws.Range("I1:L1").Interior.Color = RGB(84, 130, 53)</t>
  </si>
  <si>
    <t xml:space="preserve">    ws.Range("B2:E" &amp; lastRow).Interior.Color = RGB(255, 242, 204)</t>
  </si>
  <si>
    <t xml:space="preserve">    ws.Range("F2:F" &amp; lastRow).NumberFormat = "0.00": ws.Range("J2:L" &amp; lastRow).NumberFormat = "0.00"</t>
  </si>
  <si>
    <t xml:space="preserve">        If r &lt;= nHot + 1 Then ws.Range("A" &amp; r &amp; ":F" &amp; r).Font.Color = RGB(192, 0, 0) Else ws.Range("A" &amp; r &amp; ":F" &amp; r).Font.Color = RGB(0, 112, 192)</t>
  </si>
  <si>
    <t xml:space="preserve">    ws.Columns("A:F").AutoFit: ws.Columns("I:L").AutoFit: ws.Range("A1:F" &amp; lastRow).Borders.LineStyle = xlContinuous: ws.Range("I1:L" &amp; lastRow).Borders.LineStyle = xlContinuous</t>
  </si>
  <si>
    <t xml:space="preserve">    ws.Activate: ActiveWindow.FreezePanes = False: ws.Range("A2").Select: ActiveWindow.FreezePanes = True</t>
  </si>
  <si>
    <t>Private Sub FormatCascadeSheet(ByVal ws As Worksheet, ByVal lastRow As Long)</t>
  </si>
  <si>
    <t xml:space="preserve">    ws.Cells.Font.Name = "Aptos": ws.Range("A1:J1").Font.Bold = True: ws.Range("A1:J1").Font.Color = vbWhite: ws.Range("A1:J1").Interior.Color = RGB(31, 78, 121)</t>
  </si>
  <si>
    <t xml:space="preserve">    ws.Range("A1:J" &amp; lastRow).Borders.LineStyle = xlContinuous: ws.Range("B2:J" &amp; lastRow).NumberFormat = "0.00"</t>
  </si>
  <si>
    <t xml:space="preserve">    ws.Range("L1:M1").Merge: ws.Range("L1").Interior.Color = RGB(112, 48, 160): ws.Range("L1").Font.Color = vbWhite: ws.Range("L1").Font.Bold = True</t>
  </si>
  <si>
    <t xml:space="preserve">    ws.Range("L2:M6").Borders.LineStyle = xlContinuous: ws.Range("M2:M6").NumberFormat = "0.00"</t>
  </si>
  <si>
    <t xml:space="preserve">    ws.Columns("A:M").AutoFit: ws.Activate: ActiveWindow.FreezePanes = False: ws.Range("A2").Select: ActiveWindow.FreezePanes = True</t>
  </si>
  <si>
    <t>ADDITIONAL VBA: Grid Diagram</t>
  </si>
  <si>
    <t>Public Sub CreateGridDiagram()</t>
  </si>
  <si>
    <t xml:space="preserve">    Const GRID_SHEET As String = "Grid Diagram"</t>
  </si>
  <si>
    <t xml:space="preserve">    Dim wsIn As Worksheet, wsS As Worksheet, wsC As Worksheet, wsG As Worksheet</t>
  </si>
  <si>
    <t xml:space="preserve">    Dim streamSheetName As String</t>
  </si>
  <si>
    <t xml:space="preserve">    Dim lastRow As Long, r As Long, outRow As Long, c As Long</t>
  </si>
  <si>
    <t xml:space="preserve">    Dim streamName As String</t>
  </si>
  <si>
    <t xml:space="preserve">    Dim tStart As Double, tEnd As Double, streamCP As Double</t>
  </si>
  <si>
    <t xml:space="preserve">    Dim hotPinch As Double, coldPinch As Double</t>
  </si>
  <si>
    <t xml:space="preserve">    Dim isHot As Boolean</t>
  </si>
  <si>
    <t xml:space="preserve">    streamSheetName = Trim$(CStr(wsIn.Range("D2").Value))</t>
  </si>
  <si>
    <t xml:space="preserve">    If streamSheetName = "" Then streamSheetName = DEFAULT_STREAM_SHEET</t>
  </si>
  <si>
    <t xml:space="preserve">    Set wsS = ThisWorkbook.Worksheets(streamSheetName)</t>
  </si>
  <si>
    <t xml:space="preserve">    Set wsC = ThisWorkbook.Worksheets(CASCADE_SHEET)</t>
  </si>
  <si>
    <t xml:space="preserve">    Set wsG = GetOrCreateSheet(GRID_SHEET)</t>
  </si>
  <si>
    <t xml:space="preserve">    If Not IsNumeric(wsS.Range("N2").Value) Then</t>
  </si>
  <si>
    <t xml:space="preserve">        MsgBox "Delta T min is not available in Stream Data!N2.", vbExclamation</t>
  </si>
  <si>
    <t xml:space="preserve">        Exit Sub</t>
  </si>
  <si>
    <t xml:space="preserve">    End If</t>
  </si>
  <si>
    <t xml:space="preserve">    If Not IsNumeric(wsC.Range("M5").Value) Or Not IsNumeric(wsC.Range("M6").Value) Then</t>
  </si>
  <si>
    <t xml:space="preserve">        MsgBox "Create the cascade before creating the grid diagram.", vbExclamation</t>
  </si>
  <si>
    <t xml:space="preserve">    hotPinch = CDbl(wsC.Range("M5").Value)</t>
  </si>
  <si>
    <t xml:space="preserve">    coldPinch = CDbl(wsC.Range("M6").Value)</t>
  </si>
  <si>
    <t xml:space="preserve">    wsG.Cells.Clear</t>
  </si>
  <si>
    <t xml:space="preserve">    On Error Resume Next</t>
  </si>
  <si>
    <t xml:space="preserve">    wsG.Cells.UnMerge</t>
  </si>
  <si>
    <t xml:space="preserve">    On Error GoTo 0</t>
  </si>
  <si>
    <t xml:space="preserve">    wsG.Range("B1:P1").Merge</t>
  </si>
  <si>
    <t xml:space="preserve">    wsG.Range("B1").Value = "HEN Grid Diagram"</t>
  </si>
  <si>
    <t xml:space="preserve">    wsG.Range("B2:H2").Merge</t>
  </si>
  <si>
    <t xml:space="preserve">    wsG.Range("B2").Value = "ABOVE PINCH: warm region / heat deficit"</t>
  </si>
  <si>
    <t xml:space="preserve">    wsG.Range("I2").Value = "PINCH"</t>
  </si>
  <si>
    <t xml:space="preserve">    wsG.Range("J2:P2").Merge</t>
  </si>
  <si>
    <t xml:space="preserve">    wsG.Range("J2").Value = "BELOW PINCH: cold region / heat surplus"</t>
  </si>
  <si>
    <t xml:space="preserve">    wsG.Range("B4").Value = "QH,min [kW]": wsG.Range("C4").Formula = "='Cascade'!M2"</t>
  </si>
  <si>
    <t xml:space="preserve">    wsG.Range("E4").Value = "QC,min [kW]": wsG.Range("F4").Formula = "='Cascade'!M3"</t>
  </si>
  <si>
    <t xml:space="preserve">    wsG.Range("J4").Value = "Hot pinch T [°C]": wsG.Range("K4").Formula = "='Cascade'!M5"</t>
  </si>
  <si>
    <t xml:space="preserve">    wsG.Range("M4").Value = "Cold pinch T [°C]": wsG.Range("N4").Formula = "='Cascade'!M6"</t>
  </si>
  <si>
    <t xml:space="preserve">    wsG.Range("B5:P5").Merge</t>
  </si>
  <si>
    <t xml:space="preserve">    wsG.Range("B5").Value = "The grid separates each physical stream at the pinch. It does not yet assign heat-exchanger matches."</t>
  </si>
  <si>
    <t xml:space="preserve">    outRow = 7</t>
  </si>
  <si>
    <t xml:space="preserve">        streamName = Trim$(CStr(wsS.Cells(r, 1).Value))</t>
  </si>
  <si>
    <t xml:space="preserve">        If streamName &lt;&gt; "" Then</t>
  </si>
  <si>
    <t xml:space="preserve">            tStart = CDbl(wsS.Cells(r, 2).Value)</t>
  </si>
  <si>
    <t xml:space="preserve">            tEnd = CDbl(wsS.Cells(r, 3).Value)</t>
  </si>
  <si>
    <t xml:space="preserve">            streamCP = CDbl(wsS.Cells(r, 6).Value)</t>
  </si>
  <si>
    <t xml:space="preserve">            isHot = (UCase$(Left$(streamName, 1)) = "H")</t>
  </si>
  <si>
    <t xml:space="preserve">            wsG.Cells(outRow, 1).Value = streamName</t>
  </si>
  <si>
    <t xml:space="preserve">            wsG.Range(wsG.Cells(outRow, 2), wsG.Cells(outRow, 8)).Merge</t>
  </si>
  <si>
    <t xml:space="preserve">            wsG.Range(wsG.Cells(outRow, 10), wsG.Cells(outRow, 16)).Merge</t>
  </si>
  <si>
    <t xml:space="preserve">            If isHot Then</t>
  </si>
  <si>
    <t xml:space="preserve">                If tStart &gt; hotPinch Then</t>
  </si>
  <si>
    <t xml:space="preserve">                    wsG.Cells(outRow, 2).Value = streamName &amp; ": " &amp; Format(tStart, "0.00") &amp; " -&gt; " &amp; Format(Application.Max(tEnd, hotPinch), "0.00") &amp; " °C | CP=" &amp; Format(streamCP, "0.00")</t>
  </si>
  <si>
    <t xml:space="preserve">                End If</t>
  </si>
  <si>
    <t xml:space="preserve">                If tEnd &lt; hotPinch Then</t>
  </si>
  <si>
    <t xml:space="preserve">                    wsG.Cells(outRow, 10).Value = streamName &amp; ": " &amp; Format(Application.Min(tStart, hotPinch), "0.00") &amp; " -&gt; " &amp; Format(tEnd, "0.00") &amp; " °C | CP=" &amp; Format(streamCP, "0.00")</t>
  </si>
  <si>
    <t xml:space="preserve">                wsG.Range(wsG.Cells(outRow, 2), wsG.Cells(outRow, 8)).Interior.Color = RGB(244, 204, 204)</t>
  </si>
  <si>
    <t xml:space="preserve">                wsG.Range(wsG.Cells(outRow, 10), wsG.Cells(outRow, 16)).Interior.Color = RGB(244, 204, 204)</t>
  </si>
  <si>
    <t xml:space="preserve">                wsG.Cells(outRow, 1).Font.Color = RGB(192, 0, 0)</t>
  </si>
  <si>
    <t xml:space="preserve">            Else</t>
  </si>
  <si>
    <t xml:space="preserve">                If tEnd &gt; coldPinch Then</t>
  </si>
  <si>
    <t xml:space="preserve">                    wsG.Cells(outRow, 2).Value = streamName &amp; ": " &amp; Format(Application.Max(tStart, coldPinch), "0.00") &amp; " -&gt; " &amp; Format(tEnd, "0.00") &amp; " °C | CP=" &amp; Format(streamCP, "0.00")</t>
  </si>
  <si>
    <t xml:space="preserve">                If tStart &lt; coldPinch Then</t>
  </si>
  <si>
    <t xml:space="preserve">                    wsG.Cells(outRow, 10).Value = streamName &amp; ": " &amp; Format(tStart, "0.00") &amp; " -&gt; " &amp; Format(Application.Min(tEnd, coldPinch), "0.00") &amp; " °C | CP=" &amp; Format(streamCP, "0.00")</t>
  </si>
  <si>
    <t xml:space="preserve">                wsG.Range(wsG.Cells(outRow, 2), wsG.Cells(outRow, 8)).Interior.Color = RGB(207, 226, 243)</t>
  </si>
  <si>
    <t xml:space="preserve">                wsG.Range(wsG.Cells(outRow, 10), wsG.Cells(outRow, 16)).Interior.Color = RGB(207, 226, 243)</t>
  </si>
  <si>
    <t xml:space="preserve">                wsG.Cells(outRow, 1).Font.Color = RGB(0, 112, 192)</t>
  </si>
  <si>
    <t xml:space="preserve">            wsG.Cells(outRow, 9).Value = "|"</t>
  </si>
  <si>
    <t xml:space="preserve">            wsG.Cells(outRow, 9).Interior.Color = RGB(228, 223, 236)</t>
  </si>
  <si>
    <t xml:space="preserve">            outRow = outRow + 1</t>
  </si>
  <si>
    <t xml:space="preserve">    FormatGridDiagram wsG, outRow - 1</t>
  </si>
  <si>
    <t xml:space="preserve">    MsgBox "Grid diagram created.", vbInformation</t>
  </si>
  <si>
    <t>Private Sub FormatGridDiagram(ByVal ws As Worksheet, ByVal lastRow As Long)</t>
  </si>
  <si>
    <t xml:space="preserve">    Dim c As Long</t>
  </si>
  <si>
    <t xml:space="preserve">    ws.Cells.Font.Name = "Aptos"</t>
  </si>
  <si>
    <t xml:space="preserve">    ws.Range("B1:P1").Interior.Color = RGB(31, 78, 121)</t>
  </si>
  <si>
    <t xml:space="preserve">    ws.Range("B1").Font.Color = vbWhite: ws.Range("B1").Font.Bold = True: ws.Range("B1").Font.Size = 16</t>
  </si>
  <si>
    <t xml:space="preserve">    ws.Range("B2:H2").Interior.Color = RGB(237, 125, 49)</t>
  </si>
  <si>
    <t xml:space="preserve">    ws.Range("J2:P2").Interior.Color = RGB(91, 155, 213)</t>
  </si>
  <si>
    <t xml:space="preserve">    ws.Range("I2").Interior.Color = RGB(112, 48, 160)</t>
  </si>
  <si>
    <t xml:space="preserve">    ws.Range("B2:P2").Font.Color = vbWhite: ws.Range("B2:P2").Font.Bold = True</t>
  </si>
  <si>
    <t xml:space="preserve">    ws.Range("A7:P" &amp; lastRow).Borders.LineStyle = xlContinuous</t>
  </si>
  <si>
    <t xml:space="preserve">    ws.Range("A7:A" &amp; lastRow).Font.Bold = True</t>
  </si>
  <si>
    <t xml:space="preserve">    ws.Range("B7:P" &amp; lastRow).HorizontalAlignment = xlCenter</t>
  </si>
  <si>
    <t xml:space="preserve">    For c = 1 To 16: ws.Columns(c).ColumnWidth = 12: Next c</t>
  </si>
  <si>
    <t xml:space="preserve">    ws.Columns(1).ColumnWidth = 10: ws.Columns(9).ColumnWidth = 10</t>
  </si>
  <si>
    <t xml:space="preserve">    ws.Activate: ActiveWindow.FreezePanes = False: ws.Range("B7").Select: ActiveWindow.FreezePanes = True</t>
  </si>
  <si>
    <t>H1: 240,00 -&gt; 130,00 °C | CP=3,50</t>
  </si>
  <si>
    <t>H1: 130,00 -&gt; 100,00 °C | CP=3,50</t>
  </si>
  <si>
    <t>H2: 180,00 -&gt; 130,00 °C | CP=2,50</t>
  </si>
  <si>
    <t>H2: 130,00 -&gt; 120,00 °C | CP=2,50</t>
  </si>
  <si>
    <t>C1: 120,00 -&gt; 220,00 °C | CP=4,00</t>
  </si>
  <si>
    <t>C1: 100,00 -&gt; 120,00 °C | CP=4,00</t>
  </si>
  <si>
    <t>C2: 120,00 -&gt; 160,00 °C | CP=3,50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</si>
</sst>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0"/>
  </numFmts>
  <fonts count="13" x14ac:knownFonts="1">
    <font>
      <sz val="11"/>
      <color theme="1"/>
      <name val="Aptos Narrow"/>
      <family val="2"/>
      <scheme val="minor"/>
    </font>
    <font>
      <b/>
      <sz val="11"/>
      <color rgb="FFFFFFFF"/>
      <name val="Aptos Narrow"/>
      <family val="2"/>
    </font>
    <font>
      <b/>
      <sz val="11"/>
      <color rgb="FF0000FF"/>
      <name val="Aptos Narrow"/>
      <family val="2"/>
    </font>
    <font>
      <b/>
      <sz val="14"/>
      <color rgb="FFFFFFFF"/>
      <name val="Aptos Narrow"/>
      <family val="2"/>
    </font>
    <font>
      <sz val="11"/>
      <color theme="1"/>
      <name val="Aptos"/>
      <family val="2"/>
    </font>
    <font>
      <b/>
      <sz val="11"/>
      <color rgb="FFFFFFFF"/>
      <name val="Aptos"/>
      <family val="2"/>
    </font>
    <font>
      <sz val="11"/>
      <color rgb="FFC00000"/>
      <name val="Aptos"/>
      <family val="2"/>
    </font>
    <font>
      <sz val="11"/>
      <color rgb="FF0070C0"/>
      <name val="Aptos"/>
      <family val="2"/>
    </font>
    <font>
      <b/>
      <sz val="14"/>
      <color rgb="FFFFFFFF"/>
      <name val="Aptos Narrow"/>
      <family val="2"/>
    </font>
    <font>
      <b/>
      <sz val="16"/>
      <color rgb="FFFFFFFF"/>
      <name val="Aptos"/>
      <family val="2"/>
    </font>
    <font>
      <b/>
      <sz val="11"/>
      <color rgb="FFC00000"/>
      <name val="Aptos"/>
      <family val="2"/>
    </font>
    <font>
      <b/>
      <sz val="11"/>
      <color rgb="FF0070C0"/>
      <name val="Aptos"/>
      <family val="2"/>
    </font>
    <font>
      <sz val="11"/>
      <color rgb="FF000000"/>
      <name val="Aptos Narrow"/>
    </font>
  </fonts>
  <fills count="16">
    <fill>
      <patternFill patternType="none"/>
    </fill>
    <fill>
      <patternFill patternType="gray125"/>
    </fill>
    <fill>
      <patternFill patternType="solid">
        <fgColor rgb="FF1F4E79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1F4E78"/>
      </patternFill>
    </fill>
    <fill>
      <patternFill patternType="solid">
        <fgColor rgb="FF7030A0"/>
      </patternFill>
    </fill>
    <fill>
      <patternFill patternType="solid">
        <fgColor rgb="FF5B9BD5"/>
      </patternFill>
    </fill>
    <fill>
      <patternFill patternType="solid">
        <fgColor rgb="FFFFF2CC"/>
      </patternFill>
    </fill>
    <fill>
      <patternFill patternType="solid">
        <fgColor rgb="FF70AD47"/>
      </patternFill>
    </fill>
    <fill>
      <patternFill patternType="solid">
        <fgColor rgb="FFF4CCCC"/>
        <bgColor indexed="64"/>
      </patternFill>
    </fill>
    <fill>
      <patternFill patternType="solid">
        <fgColor rgb="FFE4DFEC"/>
        <bgColor indexed="64"/>
      </patternFill>
    </fill>
    <fill>
      <patternFill patternType="solid">
        <fgColor rgb="FFCFE2F3"/>
        <bgColor indexed="64"/>
      </patternFill>
    </fill>
    <fill>
      <patternFill patternType="solid">
        <fgColor rgb="FFED7D31"/>
        <bgColor indexed="64"/>
      </patternFill>
    </fill>
    <fill>
      <patternFill patternType="solid">
        <fgColor rgb="FF5B9BD5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A6A6A6"/>
      </left>
      <right style="thin">
        <color rgb="FFA6A6A6"/>
      </right>
      <top style="thin">
        <color rgb="FFA6A6A6"/>
      </top>
      <bottom style="thin">
        <color rgb="FFA6A6A6"/>
      </bottom>
      <diagonal/>
    </border>
  </borders>
  <cellStyleXfs count="1">
    <xf numFmtId="0" fontId="0" fillId="0" borderId="0"/>
  </cellStyleXfs>
  <cellXfs count="36">
    <xf numFmtId="0" fontId="0" fillId="0" borderId="0" xfId="0"/>
    <xf numFmtId="164" fontId="0" fillId="0" borderId="0" xfId="0" applyNumberFormat="1"/>
    <xf numFmtId="0" fontId="0" fillId="0" borderId="0" xfId="0" applyAlignment="1">
      <alignment wrapText="1"/>
    </xf>
    <xf numFmtId="0" fontId="4" fillId="0" borderId="0" xfId="0" applyFont="1"/>
    <xf numFmtId="0" fontId="5" fillId="0" borderId="0" xfId="0" applyFont="1"/>
    <xf numFmtId="0" fontId="5" fillId="2" borderId="0" xfId="0" applyFont="1" applyFill="1"/>
    <xf numFmtId="0" fontId="5" fillId="2" borderId="1" xfId="0" applyFont="1" applyFill="1" applyBorder="1"/>
    <xf numFmtId="0" fontId="6" fillId="0" borderId="1" xfId="0" applyFont="1" applyBorder="1"/>
    <xf numFmtId="0" fontId="6" fillId="4" borderId="1" xfId="0" applyFont="1" applyFill="1" applyBorder="1"/>
    <xf numFmtId="2" fontId="6" fillId="0" borderId="1" xfId="0" applyNumberFormat="1" applyFont="1" applyBorder="1"/>
    <xf numFmtId="0" fontId="7" fillId="0" borderId="1" xfId="0" applyFont="1" applyBorder="1"/>
    <xf numFmtId="0" fontId="7" fillId="4" borderId="1" xfId="0" applyFont="1" applyFill="1" applyBorder="1"/>
    <xf numFmtId="2" fontId="7" fillId="0" borderId="1" xfId="0" applyNumberFormat="1" applyFont="1" applyBorder="1"/>
    <xf numFmtId="0" fontId="5" fillId="3" borderId="1" xfId="0" applyFont="1" applyFill="1" applyBorder="1"/>
    <xf numFmtId="0" fontId="4" fillId="0" borderId="1" xfId="0" applyFont="1" applyBorder="1"/>
    <xf numFmtId="2" fontId="4" fillId="0" borderId="1" xfId="0" applyNumberFormat="1" applyFont="1" applyBorder="1"/>
    <xf numFmtId="0" fontId="8" fillId="7" borderId="0" xfId="0" applyFont="1" applyFill="1"/>
    <xf numFmtId="0" fontId="1" fillId="6" borderId="2" xfId="0" applyFont="1" applyFill="1" applyBorder="1" applyAlignment="1">
      <alignment horizontal="center" vertical="center" wrapText="1"/>
    </xf>
    <xf numFmtId="0" fontId="2" fillId="9" borderId="2" xfId="0" applyFont="1" applyFill="1" applyBorder="1" applyAlignment="1">
      <alignment horizontal="center"/>
    </xf>
    <xf numFmtId="0" fontId="1" fillId="7" borderId="2" xfId="0" applyFont="1" applyFill="1" applyBorder="1" applyAlignment="1">
      <alignment horizontal="center"/>
    </xf>
    <xf numFmtId="0" fontId="1" fillId="8" borderId="2" xfId="0" applyFont="1" applyFill="1" applyBorder="1" applyAlignment="1">
      <alignment horizontal="center"/>
    </xf>
    <xf numFmtId="0" fontId="1" fillId="10" borderId="2" xfId="0" applyFont="1" applyFill="1" applyBorder="1" applyAlignment="1">
      <alignment horizontal="center"/>
    </xf>
    <xf numFmtId="0" fontId="5" fillId="5" borderId="0" xfId="0" applyFont="1" applyFill="1"/>
    <xf numFmtId="0" fontId="3" fillId="6" borderId="0" xfId="0" applyFont="1" applyFill="1"/>
    <xf numFmtId="2" fontId="4" fillId="0" borderId="0" xfId="0" applyNumberFormat="1" applyFont="1"/>
    <xf numFmtId="0" fontId="10" fillId="0" borderId="1" xfId="0" applyFont="1" applyBorder="1"/>
    <xf numFmtId="0" fontId="11" fillId="0" borderId="1" xfId="0" applyFont="1" applyBorder="1"/>
    <xf numFmtId="0" fontId="4" fillId="12" borderId="1" xfId="0" applyFont="1" applyFill="1" applyBorder="1" applyAlignment="1">
      <alignment horizontal="center"/>
    </xf>
    <xf numFmtId="0" fontId="9" fillId="2" borderId="0" xfId="0" applyFont="1" applyFill="1"/>
    <xf numFmtId="0" fontId="4" fillId="2" borderId="0" xfId="0" applyFont="1" applyFill="1"/>
    <xf numFmtId="0" fontId="5" fillId="15" borderId="0" xfId="0" applyFont="1" applyFill="1"/>
    <xf numFmtId="0" fontId="4" fillId="11" borderId="1" xfId="0" applyFont="1" applyFill="1" applyBorder="1" applyAlignment="1">
      <alignment horizontal="center"/>
    </xf>
    <xf numFmtId="0" fontId="5" fillId="14" borderId="0" xfId="0" applyFont="1" applyFill="1"/>
    <xf numFmtId="0" fontId="4" fillId="13" borderId="1" xfId="0" applyFont="1" applyFill="1" applyBorder="1" applyAlignment="1">
      <alignment horizontal="center"/>
    </xf>
    <xf numFmtId="0" fontId="4" fillId="0" borderId="0" xfId="0" applyFont="1"/>
    <xf numFmtId="0" fontId="5" fillId="5" borderId="0" xfId="0" applyFont="1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139700</xdr:colOff>
          <xdr:row>4</xdr:row>
          <xdr:rowOff>114300</xdr:rowOff>
        </xdr:from>
        <xdr:to>
          <xdr:col>1</xdr:col>
          <xdr:colOff>1930400</xdr:colOff>
          <xdr:row>5</xdr:row>
          <xdr:rowOff>165100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 charset="0"/>
                </a:rPr>
                <a:t>CreateStreamTables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 charset="0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139700</xdr:colOff>
          <xdr:row>8</xdr:row>
          <xdr:rowOff>139700</xdr:rowOff>
        </xdr:from>
        <xdr:to>
          <xdr:col>1</xdr:col>
          <xdr:colOff>1930400</xdr:colOff>
          <xdr:row>10</xdr:row>
          <xdr:rowOff>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 charset="0"/>
                </a:rPr>
                <a:t>CreateCascade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139700</xdr:colOff>
          <xdr:row>12</xdr:row>
          <xdr:rowOff>165100</xdr:rowOff>
        </xdr:from>
        <xdr:to>
          <xdr:col>1</xdr:col>
          <xdr:colOff>1930400</xdr:colOff>
          <xdr:row>14</xdr:row>
          <xdr:rowOff>25400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 charset="0"/>
                </a:rPr>
                <a:t>CreateGrid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1"/>
  <dimension ref="A1:K12"/>
  <sheetViews>
    <sheetView showGridLines="0" tabSelected="1" workbookViewId="0">
      <pane ySplit="1" topLeftCell="A2" activePane="bottomLeft" state="frozen"/>
      <selection pane="bottomLeft" activeCell="B21" sqref="B21"/>
    </sheetView>
  </sheetViews>
  <sheetFormatPr baseColWidth="10" defaultColWidth="11.33203125" defaultRowHeight="15" x14ac:dyDescent="0.2"/>
  <cols>
    <col min="1" max="1" width="24" customWidth="1"/>
    <col min="2" max="2" width="43" customWidth="1"/>
    <col min="3" max="3" width="22" customWidth="1"/>
    <col min="4" max="4" width="28" customWidth="1"/>
    <col min="8" max="8" width="10.6640625" style="1" customWidth="1"/>
    <col min="10" max="11" width="10.6640625" style="1" customWidth="1"/>
  </cols>
  <sheetData>
    <row r="1" spans="1:4" ht="34" customHeight="1" x14ac:dyDescent="0.2">
      <c r="A1" s="17" t="s">
        <v>0</v>
      </c>
      <c r="B1" s="17" t="s">
        <v>1</v>
      </c>
      <c r="C1" s="17" t="s">
        <v>2</v>
      </c>
      <c r="D1" s="17" t="s">
        <v>3</v>
      </c>
    </row>
    <row r="2" spans="1:4" x14ac:dyDescent="0.2">
      <c r="A2" s="18">
        <v>2</v>
      </c>
      <c r="B2" s="18">
        <v>2</v>
      </c>
      <c r="C2" s="18">
        <v>10</v>
      </c>
      <c r="D2" s="18" t="s">
        <v>4</v>
      </c>
    </row>
    <row r="4" spans="1:4" x14ac:dyDescent="0.2">
      <c r="A4" s="19" t="s">
        <v>5</v>
      </c>
      <c r="B4" s="20" t="s">
        <v>6</v>
      </c>
    </row>
    <row r="8" spans="1:4" x14ac:dyDescent="0.2">
      <c r="A8" s="19" t="s">
        <v>7</v>
      </c>
      <c r="B8" s="21" t="s">
        <v>8</v>
      </c>
    </row>
    <row r="11" spans="1:4" x14ac:dyDescent="0.2">
      <c r="B11" s="2"/>
    </row>
    <row r="12" spans="1:4" x14ac:dyDescent="0.2">
      <c r="A12" s="19" t="s">
        <v>9</v>
      </c>
      <c r="B12" s="21" t="s">
        <v>10</v>
      </c>
    </row>
  </sheetData>
  <dataValidations count="2">
    <dataValidation type="whole" showErrorMessage="1" error="Bitte eine ganze Zahl zwischen 1 und 200 eingeben." sqref="A2 B2" xr:uid="{00000000-0002-0000-0000-000000000000}">
      <formula1>1</formula1>
      <formula2>200</formula2>
    </dataValidation>
    <dataValidation type="decimal" operator="greaterThanOrEqual" showErrorMessage="1" error="Bitte einen nichtnegativen Wert eingeben." sqref="C2" xr:uid="{00000000-0002-0000-0000-000001000000}">
      <formula1>0</formula1>
    </dataValidation>
  </dataValidations>
  <pageMargins left="0.7" right="0.7" top="0.78740157499999996" bottom="0.78740157499999996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3" name="Button 3">
              <controlPr defaultSize="0" print="0" autoFill="0" autoPict="0" macro="[0]!CreateStreamTables">
                <anchor moveWithCells="1">
                  <from>
                    <xdr:col>1</xdr:col>
                    <xdr:colOff>139700</xdr:colOff>
                    <xdr:row>4</xdr:row>
                    <xdr:rowOff>114300</xdr:rowOff>
                  </from>
                  <to>
                    <xdr:col>1</xdr:col>
                    <xdr:colOff>1930400</xdr:colOff>
                    <xdr:row>5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4" name="Button 5">
              <controlPr defaultSize="0" print="0" autoFill="0" autoPict="0" macro="[0]!CreateCascade">
                <anchor moveWithCells="1">
                  <from>
                    <xdr:col>1</xdr:col>
                    <xdr:colOff>139700</xdr:colOff>
                    <xdr:row>8</xdr:row>
                    <xdr:rowOff>139700</xdr:rowOff>
                  </from>
                  <to>
                    <xdr:col>1</xdr:col>
                    <xdr:colOff>1930400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5" name="Button 6">
              <controlPr defaultSize="0" print="0" autoFill="0" autoPict="0" macro="[0]!Modul1.CreateGridDiagram">
                <anchor moveWithCells="1">
                  <from>
                    <xdr:col>1</xdr:col>
                    <xdr:colOff>139700</xdr:colOff>
                    <xdr:row>12</xdr:row>
                    <xdr:rowOff>165100</xdr:rowOff>
                  </from>
                  <to>
                    <xdr:col>1</xdr:col>
                    <xdr:colOff>1930400</xdr:colOff>
                    <xdr:row>14</xdr:row>
                    <xdr:rowOff>25400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2"/>
  <dimension ref="A1:N5"/>
  <sheetViews>
    <sheetView showGridLines="0" workbookViewId="0">
      <pane ySplit="1" topLeftCell="A2" activePane="bottomLeft" state="frozen"/>
      <selection pane="bottomLeft" activeCell="B1" sqref="B1"/>
    </sheetView>
  </sheetViews>
  <sheetFormatPr baseColWidth="10" defaultColWidth="11.33203125" defaultRowHeight="15" x14ac:dyDescent="0.2"/>
  <cols>
    <col min="1" max="1" width="7.33203125" style="3" bestFit="1" customWidth="1"/>
    <col min="2" max="2" width="10.6640625" style="3" bestFit="1" customWidth="1"/>
    <col min="3" max="3" width="10" style="3" bestFit="1" customWidth="1"/>
    <col min="4" max="4" width="8.33203125" style="3" bestFit="1" customWidth="1"/>
    <col min="5" max="5" width="12.5" style="3" bestFit="1" customWidth="1"/>
    <col min="6" max="6" width="16.6640625" style="3" bestFit="1" customWidth="1"/>
    <col min="7" max="8" width="3" style="3" customWidth="1"/>
    <col min="9" max="9" width="7.33203125" style="3" bestFit="1" customWidth="1"/>
    <col min="10" max="10" width="17.6640625" style="3" bestFit="1" customWidth="1"/>
    <col min="11" max="11" width="16.83203125" style="3" bestFit="1" customWidth="1"/>
    <col min="12" max="12" width="10.1640625" style="3" bestFit="1" customWidth="1"/>
    <col min="13" max="13" width="11.33203125" style="3" customWidth="1"/>
    <col min="14" max="14" width="18.33203125" style="3" customWidth="1"/>
    <col min="15" max="15" width="11.33203125" style="3" customWidth="1"/>
    <col min="16" max="16384" width="11.33203125" style="3"/>
  </cols>
  <sheetData>
    <row r="1" spans="1:14" s="4" customFormat="1" x14ac:dyDescent="0.2">
      <c r="A1" s="6" t="s">
        <v>11</v>
      </c>
      <c r="B1" s="6">
        <v>240</v>
      </c>
      <c r="C1" s="6" t="s">
        <v>12</v>
      </c>
      <c r="D1" s="6" t="s">
        <v>13</v>
      </c>
      <c r="E1" s="6" t="s">
        <v>14</v>
      </c>
      <c r="F1" s="6" t="s">
        <v>15</v>
      </c>
      <c r="I1" s="13" t="s">
        <v>11</v>
      </c>
      <c r="J1" s="13" t="s">
        <v>16</v>
      </c>
      <c r="K1" s="13" t="s">
        <v>17</v>
      </c>
      <c r="L1" s="13" t="s">
        <v>18</v>
      </c>
      <c r="N1" s="5" t="s">
        <v>19</v>
      </c>
    </row>
    <row r="2" spans="1:14" x14ac:dyDescent="0.2">
      <c r="A2" s="7" t="s">
        <v>20</v>
      </c>
      <c r="B2" s="8">
        <v>240</v>
      </c>
      <c r="C2" s="8">
        <v>100</v>
      </c>
      <c r="D2" s="8">
        <v>1</v>
      </c>
      <c r="E2" s="8">
        <v>3.5</v>
      </c>
      <c r="F2" s="9">
        <f>D2*E2</f>
        <v>3.5</v>
      </c>
      <c r="I2" s="14" t="str">
        <f>A2</f>
        <v>H1</v>
      </c>
      <c r="J2" s="15">
        <f>B2-N2/2</f>
        <v>235</v>
      </c>
      <c r="K2" s="15">
        <f>C2-N2/2</f>
        <v>95</v>
      </c>
      <c r="L2" s="15">
        <f>F2</f>
        <v>3.5</v>
      </c>
      <c r="N2" s="14">
        <v>10</v>
      </c>
    </row>
    <row r="3" spans="1:14" x14ac:dyDescent="0.2">
      <c r="A3" s="7" t="s">
        <v>21</v>
      </c>
      <c r="B3" s="8">
        <v>180</v>
      </c>
      <c r="C3" s="8">
        <v>120</v>
      </c>
      <c r="D3" s="8">
        <v>1</v>
      </c>
      <c r="E3" s="8">
        <v>2.5</v>
      </c>
      <c r="F3" s="9">
        <f>D3*E3</f>
        <v>2.5</v>
      </c>
      <c r="I3" s="14" t="str">
        <f>A3</f>
        <v>H2</v>
      </c>
      <c r="J3" s="15">
        <f>B3-N2/2</f>
        <v>175</v>
      </c>
      <c r="K3" s="15">
        <f>C3-N2/2</f>
        <v>115</v>
      </c>
      <c r="L3" s="15">
        <f>F3</f>
        <v>2.5</v>
      </c>
    </row>
    <row r="4" spans="1:14" x14ac:dyDescent="0.2">
      <c r="A4" s="10" t="s">
        <v>22</v>
      </c>
      <c r="B4" s="11">
        <v>100</v>
      </c>
      <c r="C4" s="11">
        <v>220</v>
      </c>
      <c r="D4" s="11">
        <v>1</v>
      </c>
      <c r="E4" s="11">
        <v>4</v>
      </c>
      <c r="F4" s="12">
        <f>D4*E4</f>
        <v>4</v>
      </c>
      <c r="I4" s="14" t="str">
        <f>A4</f>
        <v>C1</v>
      </c>
      <c r="J4" s="15">
        <f>B4+N2/2</f>
        <v>105</v>
      </c>
      <c r="K4" s="15">
        <f>C4+N2/2</f>
        <v>225</v>
      </c>
      <c r="L4" s="15">
        <f>F4</f>
        <v>4</v>
      </c>
    </row>
    <row r="5" spans="1:14" x14ac:dyDescent="0.2">
      <c r="A5" s="10" t="s">
        <v>23</v>
      </c>
      <c r="B5" s="11">
        <v>120</v>
      </c>
      <c r="C5" s="11">
        <v>160</v>
      </c>
      <c r="D5" s="11">
        <v>1</v>
      </c>
      <c r="E5" s="11">
        <v>3.5</v>
      </c>
      <c r="F5" s="12">
        <f>D5*E5</f>
        <v>3.5</v>
      </c>
      <c r="I5" s="14" t="str">
        <f>A5</f>
        <v>C2</v>
      </c>
      <c r="J5" s="15">
        <f>B5+N2/2</f>
        <v>125</v>
      </c>
      <c r="K5" s="15">
        <f>C5+N2/2</f>
        <v>165</v>
      </c>
      <c r="L5" s="15">
        <f>F5</f>
        <v>3.5</v>
      </c>
    </row>
  </sheetData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3"/>
  <dimension ref="A1:M8"/>
  <sheetViews>
    <sheetView showGridLines="0" workbookViewId="0">
      <pane ySplit="1" topLeftCell="A2" activePane="bottomLeft" state="frozen"/>
      <selection pane="bottomLeft" activeCell="G21" sqref="G21"/>
    </sheetView>
  </sheetViews>
  <sheetFormatPr baseColWidth="10" defaultColWidth="11.33203125" defaultRowHeight="15" x14ac:dyDescent="0.2"/>
  <cols>
    <col min="1" max="1" width="7.6640625" style="3" bestFit="1" customWidth="1"/>
    <col min="2" max="3" width="18.83203125" style="3" bestFit="1" customWidth="1"/>
    <col min="4" max="4" width="10" style="3" bestFit="1" customWidth="1"/>
    <col min="5" max="5" width="18.33203125" style="3" bestFit="1" customWidth="1"/>
    <col min="6" max="6" width="19.33203125" style="3" bestFit="1" customWidth="1"/>
    <col min="7" max="7" width="13.83203125" style="3" bestFit="1" customWidth="1"/>
    <col min="8" max="8" width="12.1640625" style="3" bestFit="1" customWidth="1"/>
    <col min="9" max="9" width="24.33203125" style="3" bestFit="1" customWidth="1"/>
    <col min="10" max="10" width="22" style="3" bestFit="1" customWidth="1"/>
    <col min="11" max="11" width="11.33203125" style="3" customWidth="1"/>
    <col min="12" max="12" width="17.1640625" style="3" bestFit="1" customWidth="1"/>
    <col min="13" max="13" width="6.6640625" style="3" bestFit="1" customWidth="1"/>
    <col min="14" max="14" width="11.33203125" style="3" customWidth="1"/>
    <col min="15" max="16384" width="11.33203125" style="3"/>
  </cols>
  <sheetData>
    <row r="1" spans="1:13" x14ac:dyDescent="0.2">
      <c r="A1" s="6" t="s">
        <v>24</v>
      </c>
      <c r="B1" s="6" t="s">
        <v>25</v>
      </c>
      <c r="C1" s="6" t="s">
        <v>26</v>
      </c>
      <c r="D1" s="6" t="s">
        <v>27</v>
      </c>
      <c r="E1" s="6" t="s">
        <v>28</v>
      </c>
      <c r="F1" s="6" t="s">
        <v>29</v>
      </c>
      <c r="G1" s="6" t="s">
        <v>30</v>
      </c>
      <c r="H1" s="6" t="s">
        <v>31</v>
      </c>
      <c r="I1" s="6" t="s">
        <v>32</v>
      </c>
      <c r="J1" s="6" t="s">
        <v>33</v>
      </c>
      <c r="L1" s="35" t="s">
        <v>34</v>
      </c>
      <c r="M1" s="34"/>
    </row>
    <row r="2" spans="1:13" x14ac:dyDescent="0.2">
      <c r="A2" s="14">
        <v>1</v>
      </c>
      <c r="B2" s="15">
        <v>235</v>
      </c>
      <c r="C2" s="15">
        <v>225</v>
      </c>
      <c r="D2" s="15">
        <v>10</v>
      </c>
      <c r="E2" s="15">
        <v>3.5</v>
      </c>
      <c r="F2" s="15">
        <v>0</v>
      </c>
      <c r="G2" s="15">
        <v>3.5</v>
      </c>
      <c r="H2" s="15">
        <v>35</v>
      </c>
      <c r="I2" s="15">
        <v>35</v>
      </c>
      <c r="J2" s="15">
        <v>65</v>
      </c>
      <c r="L2" s="14" t="s">
        <v>35</v>
      </c>
      <c r="M2" s="15">
        <v>30</v>
      </c>
    </row>
    <row r="3" spans="1:13" x14ac:dyDescent="0.2">
      <c r="A3" s="14">
        <v>2</v>
      </c>
      <c r="B3" s="15">
        <v>225</v>
      </c>
      <c r="C3" s="15">
        <v>175</v>
      </c>
      <c r="D3" s="15">
        <v>50</v>
      </c>
      <c r="E3" s="15">
        <v>3.5</v>
      </c>
      <c r="F3" s="15">
        <v>4</v>
      </c>
      <c r="G3" s="15">
        <v>-0.5</v>
      </c>
      <c r="H3" s="15">
        <v>-25</v>
      </c>
      <c r="I3" s="15">
        <v>10</v>
      </c>
      <c r="J3" s="15">
        <v>40</v>
      </c>
      <c r="L3" s="14" t="s">
        <v>36</v>
      </c>
      <c r="M3" s="15">
        <v>50</v>
      </c>
    </row>
    <row r="4" spans="1:13" x14ac:dyDescent="0.2">
      <c r="A4" s="14">
        <v>3</v>
      </c>
      <c r="B4" s="15">
        <v>175</v>
      </c>
      <c r="C4" s="15">
        <v>165</v>
      </c>
      <c r="D4" s="15">
        <v>10</v>
      </c>
      <c r="E4" s="15">
        <v>6</v>
      </c>
      <c r="F4" s="15">
        <v>4</v>
      </c>
      <c r="G4" s="15">
        <v>2</v>
      </c>
      <c r="H4" s="15">
        <v>20</v>
      </c>
      <c r="I4" s="15">
        <v>30</v>
      </c>
      <c r="J4" s="15">
        <v>60</v>
      </c>
      <c r="L4" s="14" t="s">
        <v>37</v>
      </c>
      <c r="M4" s="15">
        <v>125</v>
      </c>
    </row>
    <row r="5" spans="1:13" x14ac:dyDescent="0.2">
      <c r="A5" s="14">
        <v>4</v>
      </c>
      <c r="B5" s="15">
        <v>165</v>
      </c>
      <c r="C5" s="15">
        <v>125</v>
      </c>
      <c r="D5" s="15">
        <v>40</v>
      </c>
      <c r="E5" s="15">
        <v>6</v>
      </c>
      <c r="F5" s="15">
        <v>7.5</v>
      </c>
      <c r="G5" s="15">
        <v>-1.5</v>
      </c>
      <c r="H5" s="15">
        <v>-60</v>
      </c>
      <c r="I5" s="15">
        <v>-30</v>
      </c>
      <c r="J5" s="15">
        <v>0</v>
      </c>
      <c r="L5" s="14" t="s">
        <v>38</v>
      </c>
      <c r="M5" s="15">
        <v>130</v>
      </c>
    </row>
    <row r="6" spans="1:13" x14ac:dyDescent="0.2">
      <c r="A6" s="14">
        <v>5</v>
      </c>
      <c r="B6" s="15">
        <v>125</v>
      </c>
      <c r="C6" s="15">
        <v>115</v>
      </c>
      <c r="D6" s="15">
        <v>10</v>
      </c>
      <c r="E6" s="15">
        <v>6</v>
      </c>
      <c r="F6" s="15">
        <v>4</v>
      </c>
      <c r="G6" s="15">
        <v>2</v>
      </c>
      <c r="H6" s="15">
        <v>20</v>
      </c>
      <c r="I6" s="15">
        <v>-10</v>
      </c>
      <c r="J6" s="15">
        <v>20</v>
      </c>
      <c r="L6" s="14" t="s">
        <v>39</v>
      </c>
      <c r="M6" s="15">
        <v>120</v>
      </c>
    </row>
    <row r="7" spans="1:13" x14ac:dyDescent="0.2">
      <c r="A7" s="14">
        <v>6</v>
      </c>
      <c r="B7" s="15">
        <v>115</v>
      </c>
      <c r="C7" s="15">
        <v>105</v>
      </c>
      <c r="D7" s="15">
        <v>10</v>
      </c>
      <c r="E7" s="15">
        <v>3.5</v>
      </c>
      <c r="F7" s="15">
        <v>4</v>
      </c>
      <c r="G7" s="15">
        <v>-0.5</v>
      </c>
      <c r="H7" s="15">
        <v>-5</v>
      </c>
      <c r="I7" s="15">
        <v>-15</v>
      </c>
      <c r="J7" s="15">
        <v>15</v>
      </c>
    </row>
    <row r="8" spans="1:13" x14ac:dyDescent="0.2">
      <c r="A8" s="14">
        <v>7</v>
      </c>
      <c r="B8" s="15">
        <v>105</v>
      </c>
      <c r="C8" s="15">
        <v>95</v>
      </c>
      <c r="D8" s="15">
        <v>10</v>
      </c>
      <c r="E8" s="15">
        <v>3.5</v>
      </c>
      <c r="F8" s="15">
        <v>0</v>
      </c>
      <c r="G8" s="15">
        <v>3.5</v>
      </c>
      <c r="H8" s="15">
        <v>35</v>
      </c>
      <c r="I8" s="15">
        <v>20</v>
      </c>
      <c r="J8" s="15">
        <v>50</v>
      </c>
    </row>
  </sheetData>
  <mergeCells count="1">
    <mergeCell ref="L1:M1"/>
  </mergeCells>
  <pageMargins left="0.7" right="0.7" top="0.78740157499999996" bottom="0.78740157499999996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Tabelle5"/>
  <dimension ref="A1:P17"/>
  <sheetViews>
    <sheetView showGridLines="0" workbookViewId="0">
      <pane xSplit="1" ySplit="6" topLeftCell="B7" activePane="bottomRight" state="frozen"/>
      <selection pane="topRight" activeCell="B1" sqref="B1"/>
      <selection pane="bottomLeft" activeCell="A7" sqref="A7"/>
      <selection pane="bottomRight" activeCell="K14" sqref="K14"/>
    </sheetView>
  </sheetViews>
  <sheetFormatPr baseColWidth="10" defaultColWidth="9" defaultRowHeight="15" x14ac:dyDescent="0.2"/>
  <cols>
    <col min="1" max="1" width="10.6640625" style="3" customWidth="1"/>
    <col min="2" max="8" width="12.6640625" style="3" customWidth="1"/>
    <col min="9" max="9" width="10.6640625" style="3" customWidth="1"/>
    <col min="10" max="16" width="12.6640625" style="3" customWidth="1"/>
    <col min="17" max="16384" width="9" style="3"/>
  </cols>
  <sheetData>
    <row r="1" spans="1:16" ht="24" customHeight="1" x14ac:dyDescent="0.3">
      <c r="B1" s="28" t="s">
        <v>40</v>
      </c>
      <c r="C1" s="29"/>
      <c r="D1" s="29"/>
      <c r="E1" s="29"/>
      <c r="F1" s="29"/>
      <c r="G1" s="29"/>
      <c r="H1" s="29"/>
      <c r="I1" s="29"/>
      <c r="J1" s="29"/>
      <c r="K1" s="29"/>
      <c r="L1" s="29"/>
      <c r="M1" s="29"/>
      <c r="N1" s="29"/>
      <c r="O1" s="29"/>
      <c r="P1" s="29"/>
    </row>
    <row r="2" spans="1:16" ht="24" customHeight="1" x14ac:dyDescent="0.2">
      <c r="B2" s="32" t="s">
        <v>41</v>
      </c>
      <c r="C2" s="32"/>
      <c r="D2" s="32"/>
      <c r="E2" s="32"/>
      <c r="F2" s="32"/>
      <c r="G2" s="32"/>
      <c r="H2" s="32"/>
      <c r="I2" s="22" t="s">
        <v>42</v>
      </c>
      <c r="J2" s="30" t="s">
        <v>43</v>
      </c>
      <c r="K2" s="30"/>
      <c r="L2" s="30"/>
      <c r="M2" s="30"/>
      <c r="N2" s="30"/>
      <c r="O2" s="30"/>
      <c r="P2" s="30"/>
    </row>
    <row r="3" spans="1:16" ht="24" customHeight="1" x14ac:dyDescent="0.2"/>
    <row r="4" spans="1:16" ht="24" customHeight="1" x14ac:dyDescent="0.2">
      <c r="B4" s="3" t="s">
        <v>35</v>
      </c>
      <c r="C4" s="24">
        <f>Cascade!M2</f>
        <v>30</v>
      </c>
      <c r="E4" s="3" t="s">
        <v>36</v>
      </c>
      <c r="F4" s="24">
        <f>Cascade!M3</f>
        <v>50</v>
      </c>
      <c r="J4" s="3" t="s">
        <v>38</v>
      </c>
      <c r="K4" s="24">
        <f>Cascade!M5</f>
        <v>130</v>
      </c>
      <c r="M4" s="3" t="s">
        <v>39</v>
      </c>
      <c r="N4" s="24">
        <f>Cascade!M6</f>
        <v>120</v>
      </c>
    </row>
    <row r="5" spans="1:16" ht="24" customHeight="1" x14ac:dyDescent="0.2">
      <c r="B5" s="34" t="s">
        <v>44</v>
      </c>
      <c r="C5" s="34"/>
      <c r="D5" s="34"/>
      <c r="E5" s="34"/>
      <c r="F5" s="34"/>
      <c r="G5" s="34"/>
      <c r="H5" s="34"/>
      <c r="I5" s="34"/>
      <c r="J5" s="34"/>
      <c r="K5" s="34"/>
      <c r="L5" s="34"/>
      <c r="M5" s="34"/>
      <c r="N5" s="34"/>
      <c r="O5" s="34"/>
      <c r="P5" s="34"/>
    </row>
    <row r="6" spans="1:16" ht="24" customHeight="1" x14ac:dyDescent="0.2"/>
    <row r="7" spans="1:16" ht="24" customHeight="1" x14ac:dyDescent="0.2">
      <c r="A7" s="25" t="s">
        <v>20</v>
      </c>
      <c r="B7" s="31" t="s">
        <v>268</v>
      </c>
      <c r="C7" s="31"/>
      <c r="D7" s="31"/>
      <c r="E7" s="31"/>
      <c r="F7" s="31"/>
      <c r="G7" s="31"/>
      <c r="H7" s="31"/>
      <c r="I7" s="27" t="s">
        <v>45</v>
      </c>
      <c r="J7" s="31" t="s">
        <v>269</v>
      </c>
      <c r="K7" s="31"/>
      <c r="L7" s="31"/>
      <c r="M7" s="31"/>
      <c r="N7" s="31"/>
      <c r="O7" s="31"/>
      <c r="P7" s="31"/>
    </row>
    <row r="8" spans="1:16" ht="24" customHeight="1" x14ac:dyDescent="0.2">
      <c r="A8" s="25" t="s">
        <v>21</v>
      </c>
      <c r="B8" s="31" t="s">
        <v>270</v>
      </c>
      <c r="C8" s="31"/>
      <c r="D8" s="31"/>
      <c r="E8" s="31"/>
      <c r="F8" s="31"/>
      <c r="G8" s="31"/>
      <c r="H8" s="31"/>
      <c r="I8" s="27" t="s">
        <v>45</v>
      </c>
      <c r="J8" s="31" t="s">
        <v>271</v>
      </c>
      <c r="K8" s="31"/>
      <c r="L8" s="31"/>
      <c r="M8" s="31"/>
      <c r="N8" s="31"/>
      <c r="O8" s="31"/>
      <c r="P8" s="31"/>
    </row>
    <row r="9" spans="1:16" ht="24" customHeight="1" x14ac:dyDescent="0.2">
      <c r="A9" s="26" t="s">
        <v>22</v>
      </c>
      <c r="B9" s="33" t="s">
        <v>272</v>
      </c>
      <c r="C9" s="33"/>
      <c r="D9" s="33"/>
      <c r="E9" s="33"/>
      <c r="F9" s="33"/>
      <c r="G9" s="33"/>
      <c r="H9" s="33"/>
      <c r="I9" s="27" t="s">
        <v>45</v>
      </c>
      <c r="J9" s="33" t="s">
        <v>273</v>
      </c>
      <c r="K9" s="33"/>
      <c r="L9" s="33"/>
      <c r="M9" s="33"/>
      <c r="N9" s="33"/>
      <c r="O9" s="33"/>
      <c r="P9" s="33"/>
    </row>
    <row r="10" spans="1:16" ht="24" customHeight="1" x14ac:dyDescent="0.2">
      <c r="A10" s="26" t="s">
        <v>23</v>
      </c>
      <c r="B10" s="33" t="s">
        <v>274</v>
      </c>
      <c r="C10" s="33"/>
      <c r="D10" s="33"/>
      <c r="E10" s="33"/>
      <c r="F10" s="33"/>
      <c r="G10" s="33"/>
      <c r="H10" s="33"/>
      <c r="I10" s="27" t="s">
        <v>45</v>
      </c>
      <c r="J10" s="33"/>
      <c r="K10" s="33"/>
      <c r="L10" s="33"/>
      <c r="M10" s="33"/>
      <c r="N10" s="33"/>
      <c r="O10" s="33"/>
      <c r="P10" s="33"/>
    </row>
    <row r="11" spans="1:16" ht="24" customHeight="1" x14ac:dyDescent="0.2"/>
    <row r="12" spans="1:16" ht="24" customHeight="1" x14ac:dyDescent="0.2"/>
    <row r="13" spans="1:16" ht="24" customHeight="1" x14ac:dyDescent="0.2"/>
    <row r="14" spans="1:16" ht="24" customHeight="1" x14ac:dyDescent="0.2"/>
    <row r="15" spans="1:16" ht="24" customHeight="1" x14ac:dyDescent="0.2"/>
    <row r="16" spans="1:16" ht="24" customHeight="1" x14ac:dyDescent="0.2"/>
    <row r="17" s="3" customFormat="1" ht="24" customHeight="1" x14ac:dyDescent="0.2"/>
  </sheetData>
  <mergeCells count="12">
    <mergeCell ref="J10:P10"/>
    <mergeCell ref="B5:P5"/>
    <mergeCell ref="J9:P9"/>
    <mergeCell ref="B8:H8"/>
    <mergeCell ref="J7:P7"/>
    <mergeCell ref="B10:H10"/>
    <mergeCell ref="B9:H9"/>
    <mergeCell ref="B1:P1"/>
    <mergeCell ref="J2:P2"/>
    <mergeCell ref="J8:P8"/>
    <mergeCell ref="B7:H7"/>
    <mergeCell ref="B2:H2"/>
  </mergeCells>
  <pageMargins left="0.75" right="0.75" top="1" bottom="1" header="0.5" footer="0.5"/>
  <pageSetup orientation="landscape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Tabelle4"/>
  <dimension ref="A1:A288"/>
  <sheetViews>
    <sheetView showGridLines="0" topLeftCell="A271" workbookViewId="0">
      <selection activeCell="A176" sqref="A176:A288"/>
    </sheetView>
  </sheetViews>
  <sheetFormatPr baseColWidth="10" defaultColWidth="9" defaultRowHeight="15" x14ac:dyDescent="0.2"/>
  <cols>
    <col min="1" max="1" width="125" customWidth="1"/>
  </cols>
  <sheetData>
    <row r="1" spans="1:1" ht="18" customHeight="1" x14ac:dyDescent="0.25">
      <c r="A1" s="23" t="s">
        <v>46</v>
      </c>
    </row>
    <row r="2" spans="1:1" ht="16" x14ac:dyDescent="0.2">
      <c r="A2" s="2" t="s">
        <v>47</v>
      </c>
    </row>
    <row r="4" spans="1:1" x14ac:dyDescent="0.2">
      <c r="A4" t="s">
        <v>48</v>
      </c>
    </row>
    <row r="6" spans="1:1" x14ac:dyDescent="0.2">
      <c r="A6" t="s">
        <v>49</v>
      </c>
    </row>
    <row r="7" spans="1:1" x14ac:dyDescent="0.2">
      <c r="A7" t="s">
        <v>50</v>
      </c>
    </row>
    <row r="8" spans="1:1" x14ac:dyDescent="0.2">
      <c r="A8" t="s">
        <v>51</v>
      </c>
    </row>
    <row r="9" spans="1:1" x14ac:dyDescent="0.2">
      <c r="A9" t="s">
        <v>52</v>
      </c>
    </row>
    <row r="11" spans="1:1" x14ac:dyDescent="0.2">
      <c r="A11" t="s">
        <v>53</v>
      </c>
    </row>
    <row r="12" spans="1:1" x14ac:dyDescent="0.2">
      <c r="A12" t="s">
        <v>54</v>
      </c>
    </row>
    <row r="13" spans="1:1" x14ac:dyDescent="0.2">
      <c r="A13" t="s">
        <v>55</v>
      </c>
    </row>
    <row r="14" spans="1:1" x14ac:dyDescent="0.2">
      <c r="A14" t="s">
        <v>56</v>
      </c>
    </row>
    <row r="16" spans="1:1" x14ac:dyDescent="0.2">
      <c r="A16" t="s">
        <v>57</v>
      </c>
    </row>
    <row r="17" spans="1:1" x14ac:dyDescent="0.2">
      <c r="A17" t="s">
        <v>58</v>
      </c>
    </row>
    <row r="18" spans="1:1" x14ac:dyDescent="0.2">
      <c r="A18" t="s">
        <v>59</v>
      </c>
    </row>
    <row r="19" spans="1:1" x14ac:dyDescent="0.2">
      <c r="A19" t="s">
        <v>60</v>
      </c>
    </row>
    <row r="21" spans="1:1" x14ac:dyDescent="0.2">
      <c r="A21" t="s">
        <v>61</v>
      </c>
    </row>
    <row r="22" spans="1:1" x14ac:dyDescent="0.2">
      <c r="A22" t="s">
        <v>62</v>
      </c>
    </row>
    <row r="23" spans="1:1" x14ac:dyDescent="0.2">
      <c r="A23" t="s">
        <v>63</v>
      </c>
    </row>
    <row r="24" spans="1:1" x14ac:dyDescent="0.2">
      <c r="A24" t="s">
        <v>64</v>
      </c>
    </row>
    <row r="25" spans="1:1" x14ac:dyDescent="0.2">
      <c r="A25" t="s">
        <v>65</v>
      </c>
    </row>
    <row r="27" spans="1:1" x14ac:dyDescent="0.2">
      <c r="A27" t="s">
        <v>66</v>
      </c>
    </row>
    <row r="28" spans="1:1" x14ac:dyDescent="0.2">
      <c r="A28" t="s">
        <v>67</v>
      </c>
    </row>
    <row r="29" spans="1:1" x14ac:dyDescent="0.2">
      <c r="A29" t="s">
        <v>68</v>
      </c>
    </row>
    <row r="30" spans="1:1" x14ac:dyDescent="0.2">
      <c r="A30" t="s">
        <v>69</v>
      </c>
    </row>
    <row r="31" spans="1:1" x14ac:dyDescent="0.2">
      <c r="A31" t="s">
        <v>70</v>
      </c>
    </row>
    <row r="33" spans="1:1" x14ac:dyDescent="0.2">
      <c r="A33" t="s">
        <v>71</v>
      </c>
    </row>
    <row r="34" spans="1:1" x14ac:dyDescent="0.2">
      <c r="A34" t="s">
        <v>72</v>
      </c>
    </row>
    <row r="35" spans="1:1" x14ac:dyDescent="0.2">
      <c r="A35" t="s">
        <v>73</v>
      </c>
    </row>
    <row r="36" spans="1:1" x14ac:dyDescent="0.2">
      <c r="A36" t="s">
        <v>74</v>
      </c>
    </row>
    <row r="37" spans="1:1" x14ac:dyDescent="0.2">
      <c r="A37" t="s">
        <v>75</v>
      </c>
    </row>
    <row r="38" spans="1:1" x14ac:dyDescent="0.2">
      <c r="A38" t="s">
        <v>76</v>
      </c>
    </row>
    <row r="39" spans="1:1" x14ac:dyDescent="0.2">
      <c r="A39" t="s">
        <v>77</v>
      </c>
    </row>
    <row r="40" spans="1:1" x14ac:dyDescent="0.2">
      <c r="A40" t="s">
        <v>78</v>
      </c>
    </row>
    <row r="41" spans="1:1" x14ac:dyDescent="0.2">
      <c r="A41" t="s">
        <v>79</v>
      </c>
    </row>
    <row r="42" spans="1:1" x14ac:dyDescent="0.2">
      <c r="A42" t="s">
        <v>80</v>
      </c>
    </row>
    <row r="43" spans="1:1" x14ac:dyDescent="0.2">
      <c r="A43" t="s">
        <v>81</v>
      </c>
    </row>
    <row r="44" spans="1:1" x14ac:dyDescent="0.2">
      <c r="A44" t="s">
        <v>82</v>
      </c>
    </row>
    <row r="45" spans="1:1" x14ac:dyDescent="0.2">
      <c r="A45" t="s">
        <v>83</v>
      </c>
    </row>
    <row r="46" spans="1:1" x14ac:dyDescent="0.2">
      <c r="A46" t="s">
        <v>84</v>
      </c>
    </row>
    <row r="48" spans="1:1" x14ac:dyDescent="0.2">
      <c r="A48" t="s">
        <v>85</v>
      </c>
    </row>
    <row r="49" spans="1:1" x14ac:dyDescent="0.2">
      <c r="A49" t="s">
        <v>86</v>
      </c>
    </row>
    <row r="50" spans="1:1" x14ac:dyDescent="0.2">
      <c r="A50" t="s">
        <v>87</v>
      </c>
    </row>
    <row r="52" spans="1:1" x14ac:dyDescent="0.2">
      <c r="A52" t="s">
        <v>88</v>
      </c>
    </row>
    <row r="53" spans="1:1" x14ac:dyDescent="0.2">
      <c r="A53" t="s">
        <v>89</v>
      </c>
    </row>
    <row r="54" spans="1:1" x14ac:dyDescent="0.2">
      <c r="A54" t="s">
        <v>90</v>
      </c>
    </row>
    <row r="55" spans="1:1" x14ac:dyDescent="0.2">
      <c r="A55" t="s">
        <v>91</v>
      </c>
    </row>
    <row r="56" spans="1:1" x14ac:dyDescent="0.2">
      <c r="A56" t="s">
        <v>92</v>
      </c>
    </row>
    <row r="57" spans="1:1" x14ac:dyDescent="0.2">
      <c r="A57" t="s">
        <v>93</v>
      </c>
    </row>
    <row r="58" spans="1:1" x14ac:dyDescent="0.2">
      <c r="A58" t="s">
        <v>94</v>
      </c>
    </row>
    <row r="59" spans="1:1" x14ac:dyDescent="0.2">
      <c r="A59" t="s">
        <v>95</v>
      </c>
    </row>
    <row r="60" spans="1:1" x14ac:dyDescent="0.2">
      <c r="A60" t="s">
        <v>96</v>
      </c>
    </row>
    <row r="62" spans="1:1" x14ac:dyDescent="0.2">
      <c r="A62" t="s">
        <v>57</v>
      </c>
    </row>
    <row r="63" spans="1:1" x14ac:dyDescent="0.2">
      <c r="A63" t="s">
        <v>97</v>
      </c>
    </row>
    <row r="64" spans="1:1" x14ac:dyDescent="0.2">
      <c r="A64" t="s">
        <v>98</v>
      </c>
    </row>
    <row r="65" spans="1:1" x14ac:dyDescent="0.2">
      <c r="A65" t="s">
        <v>99</v>
      </c>
    </row>
    <row r="66" spans="1:1" x14ac:dyDescent="0.2">
      <c r="A66" t="s">
        <v>100</v>
      </c>
    </row>
    <row r="67" spans="1:1" x14ac:dyDescent="0.2">
      <c r="A67" t="s">
        <v>101</v>
      </c>
    </row>
    <row r="69" spans="1:1" x14ac:dyDescent="0.2">
      <c r="A69" t="s">
        <v>102</v>
      </c>
    </row>
    <row r="70" spans="1:1" x14ac:dyDescent="0.2">
      <c r="A70" t="s">
        <v>103</v>
      </c>
    </row>
    <row r="71" spans="1:1" x14ac:dyDescent="0.2">
      <c r="A71" t="s">
        <v>104</v>
      </c>
    </row>
    <row r="72" spans="1:1" x14ac:dyDescent="0.2">
      <c r="A72" t="s">
        <v>78</v>
      </c>
    </row>
    <row r="73" spans="1:1" x14ac:dyDescent="0.2">
      <c r="A73" t="s">
        <v>105</v>
      </c>
    </row>
    <row r="74" spans="1:1" x14ac:dyDescent="0.2">
      <c r="A74" t="s">
        <v>106</v>
      </c>
    </row>
    <row r="75" spans="1:1" x14ac:dyDescent="0.2">
      <c r="A75" t="s">
        <v>78</v>
      </c>
    </row>
    <row r="76" spans="1:1" x14ac:dyDescent="0.2">
      <c r="A76" t="s">
        <v>107</v>
      </c>
    </row>
    <row r="77" spans="1:1" x14ac:dyDescent="0.2">
      <c r="A77" t="s">
        <v>108</v>
      </c>
    </row>
    <row r="78" spans="1:1" x14ac:dyDescent="0.2">
      <c r="A78" t="s">
        <v>109</v>
      </c>
    </row>
    <row r="79" spans="1:1" x14ac:dyDescent="0.2">
      <c r="A79" t="s">
        <v>110</v>
      </c>
    </row>
    <row r="80" spans="1:1" x14ac:dyDescent="0.2">
      <c r="A80" t="s">
        <v>111</v>
      </c>
    </row>
    <row r="82" spans="1:1" x14ac:dyDescent="0.2">
      <c r="A82" t="s">
        <v>112</v>
      </c>
    </row>
    <row r="83" spans="1:1" x14ac:dyDescent="0.2">
      <c r="A83" t="s">
        <v>113</v>
      </c>
    </row>
    <row r="84" spans="1:1" x14ac:dyDescent="0.2">
      <c r="A84" t="s">
        <v>102</v>
      </c>
    </row>
    <row r="85" spans="1:1" x14ac:dyDescent="0.2">
      <c r="A85" t="s">
        <v>114</v>
      </c>
    </row>
    <row r="86" spans="1:1" x14ac:dyDescent="0.2">
      <c r="A86" t="s">
        <v>115</v>
      </c>
    </row>
    <row r="87" spans="1:1" x14ac:dyDescent="0.2">
      <c r="A87" t="s">
        <v>111</v>
      </c>
    </row>
    <row r="88" spans="1:1" x14ac:dyDescent="0.2">
      <c r="A88" t="s">
        <v>116</v>
      </c>
    </row>
    <row r="89" spans="1:1" x14ac:dyDescent="0.2">
      <c r="A89" t="s">
        <v>117</v>
      </c>
    </row>
    <row r="90" spans="1:1" x14ac:dyDescent="0.2">
      <c r="A90" t="s">
        <v>118</v>
      </c>
    </row>
    <row r="91" spans="1:1" x14ac:dyDescent="0.2">
      <c r="A91" t="s">
        <v>119</v>
      </c>
    </row>
    <row r="92" spans="1:1" x14ac:dyDescent="0.2">
      <c r="A92" t="s">
        <v>120</v>
      </c>
    </row>
    <row r="93" spans="1:1" x14ac:dyDescent="0.2">
      <c r="A93" t="s">
        <v>121</v>
      </c>
    </row>
    <row r="94" spans="1:1" x14ac:dyDescent="0.2">
      <c r="A94" t="s">
        <v>122</v>
      </c>
    </row>
    <row r="95" spans="1:1" x14ac:dyDescent="0.2">
      <c r="A95" t="s">
        <v>84</v>
      </c>
    </row>
    <row r="97" spans="1:1" x14ac:dyDescent="0.2">
      <c r="A97" t="s">
        <v>123</v>
      </c>
    </row>
    <row r="98" spans="1:1" x14ac:dyDescent="0.2">
      <c r="A98" t="s">
        <v>124</v>
      </c>
    </row>
    <row r="99" spans="1:1" x14ac:dyDescent="0.2">
      <c r="A99" t="s">
        <v>125</v>
      </c>
    </row>
    <row r="100" spans="1:1" x14ac:dyDescent="0.2">
      <c r="A100" t="s">
        <v>126</v>
      </c>
    </row>
    <row r="102" spans="1:1" x14ac:dyDescent="0.2">
      <c r="A102" t="s">
        <v>127</v>
      </c>
    </row>
    <row r="103" spans="1:1" x14ac:dyDescent="0.2">
      <c r="A103" t="s">
        <v>119</v>
      </c>
    </row>
    <row r="104" spans="1:1" x14ac:dyDescent="0.2">
      <c r="A104" t="s">
        <v>128</v>
      </c>
    </row>
    <row r="105" spans="1:1" x14ac:dyDescent="0.2">
      <c r="A105" t="s">
        <v>129</v>
      </c>
    </row>
    <row r="106" spans="1:1" x14ac:dyDescent="0.2">
      <c r="A106" t="s">
        <v>130</v>
      </c>
    </row>
    <row r="107" spans="1:1" x14ac:dyDescent="0.2">
      <c r="A107" t="s">
        <v>131</v>
      </c>
    </row>
    <row r="108" spans="1:1" x14ac:dyDescent="0.2">
      <c r="A108" t="s">
        <v>132</v>
      </c>
    </row>
    <row r="109" spans="1:1" x14ac:dyDescent="0.2">
      <c r="A109" t="s">
        <v>133</v>
      </c>
    </row>
    <row r="110" spans="1:1" x14ac:dyDescent="0.2">
      <c r="A110" t="s">
        <v>134</v>
      </c>
    </row>
    <row r="111" spans="1:1" x14ac:dyDescent="0.2">
      <c r="A111" t="s">
        <v>135</v>
      </c>
    </row>
    <row r="112" spans="1:1" x14ac:dyDescent="0.2">
      <c r="A112" t="s">
        <v>136</v>
      </c>
    </row>
    <row r="113" spans="1:1" x14ac:dyDescent="0.2">
      <c r="A113" t="s">
        <v>137</v>
      </c>
    </row>
    <row r="114" spans="1:1" x14ac:dyDescent="0.2">
      <c r="A114" t="s">
        <v>138</v>
      </c>
    </row>
    <row r="115" spans="1:1" x14ac:dyDescent="0.2">
      <c r="A115" t="s">
        <v>139</v>
      </c>
    </row>
    <row r="116" spans="1:1" x14ac:dyDescent="0.2">
      <c r="A116" t="s">
        <v>140</v>
      </c>
    </row>
    <row r="117" spans="1:1" x14ac:dyDescent="0.2">
      <c r="A117" t="s">
        <v>141</v>
      </c>
    </row>
    <row r="118" spans="1:1" x14ac:dyDescent="0.2">
      <c r="A118" t="s">
        <v>142</v>
      </c>
    </row>
    <row r="119" spans="1:1" x14ac:dyDescent="0.2">
      <c r="A119" t="s">
        <v>143</v>
      </c>
    </row>
    <row r="120" spans="1:1" x14ac:dyDescent="0.2">
      <c r="A120" t="s">
        <v>144</v>
      </c>
    </row>
    <row r="121" spans="1:1" x14ac:dyDescent="0.2">
      <c r="A121" t="s">
        <v>84</v>
      </c>
    </row>
    <row r="123" spans="1:1" x14ac:dyDescent="0.2">
      <c r="A123" t="s">
        <v>145</v>
      </c>
    </row>
    <row r="124" spans="1:1" x14ac:dyDescent="0.2">
      <c r="A124" t="s">
        <v>119</v>
      </c>
    </row>
    <row r="125" spans="1:1" x14ac:dyDescent="0.2">
      <c r="A125" t="s">
        <v>146</v>
      </c>
    </row>
    <row r="126" spans="1:1" x14ac:dyDescent="0.2">
      <c r="A126" t="s">
        <v>147</v>
      </c>
    </row>
    <row r="127" spans="1:1" x14ac:dyDescent="0.2">
      <c r="A127" t="s">
        <v>84</v>
      </c>
    </row>
    <row r="128" spans="1:1" x14ac:dyDescent="0.2">
      <c r="A128" t="s">
        <v>148</v>
      </c>
    </row>
    <row r="130" spans="1:1" x14ac:dyDescent="0.2">
      <c r="A130" t="s">
        <v>149</v>
      </c>
    </row>
    <row r="131" spans="1:1" x14ac:dyDescent="0.2">
      <c r="A131" t="s">
        <v>150</v>
      </c>
    </row>
    <row r="132" spans="1:1" x14ac:dyDescent="0.2">
      <c r="A132" t="s">
        <v>151</v>
      </c>
    </row>
    <row r="133" spans="1:1" x14ac:dyDescent="0.2">
      <c r="A133" t="s">
        <v>152</v>
      </c>
    </row>
    <row r="134" spans="1:1" x14ac:dyDescent="0.2">
      <c r="A134" t="s">
        <v>153</v>
      </c>
    </row>
    <row r="135" spans="1:1" x14ac:dyDescent="0.2">
      <c r="A135" t="s">
        <v>154</v>
      </c>
    </row>
    <row r="136" spans="1:1" x14ac:dyDescent="0.2">
      <c r="A136" t="s">
        <v>155</v>
      </c>
    </row>
    <row r="137" spans="1:1" x14ac:dyDescent="0.2">
      <c r="A137" t="s">
        <v>87</v>
      </c>
    </row>
    <row r="139" spans="1:1" x14ac:dyDescent="0.2">
      <c r="A139" t="s">
        <v>156</v>
      </c>
    </row>
    <row r="140" spans="1:1" x14ac:dyDescent="0.2">
      <c r="A140" t="s">
        <v>157</v>
      </c>
    </row>
    <row r="141" spans="1:1" x14ac:dyDescent="0.2">
      <c r="A141" t="s">
        <v>158</v>
      </c>
    </row>
    <row r="142" spans="1:1" x14ac:dyDescent="0.2">
      <c r="A142" t="s">
        <v>87</v>
      </c>
    </row>
    <row r="144" spans="1:1" x14ac:dyDescent="0.2">
      <c r="A144" t="s">
        <v>159</v>
      </c>
    </row>
    <row r="145" spans="1:1" x14ac:dyDescent="0.2">
      <c r="A145" t="s">
        <v>160</v>
      </c>
    </row>
    <row r="146" spans="1:1" x14ac:dyDescent="0.2">
      <c r="A146" t="s">
        <v>161</v>
      </c>
    </row>
    <row r="147" spans="1:1" x14ac:dyDescent="0.2">
      <c r="A147" t="s">
        <v>162</v>
      </c>
    </row>
    <row r="149" spans="1:1" x14ac:dyDescent="0.2">
      <c r="A149" t="s">
        <v>163</v>
      </c>
    </row>
    <row r="150" spans="1:1" x14ac:dyDescent="0.2">
      <c r="A150" t="s">
        <v>164</v>
      </c>
    </row>
    <row r="151" spans="1:1" x14ac:dyDescent="0.2">
      <c r="A151" t="s">
        <v>165</v>
      </c>
    </row>
    <row r="152" spans="1:1" x14ac:dyDescent="0.2">
      <c r="A152" t="s">
        <v>162</v>
      </c>
    </row>
    <row r="154" spans="1:1" x14ac:dyDescent="0.2">
      <c r="A154" t="s">
        <v>166</v>
      </c>
    </row>
    <row r="155" spans="1:1" x14ac:dyDescent="0.2">
      <c r="A155" t="s">
        <v>167</v>
      </c>
    </row>
    <row r="156" spans="1:1" x14ac:dyDescent="0.2">
      <c r="A156" t="s">
        <v>168</v>
      </c>
    </row>
    <row r="157" spans="1:1" x14ac:dyDescent="0.2">
      <c r="A157" t="s">
        <v>169</v>
      </c>
    </row>
    <row r="158" spans="1:1" x14ac:dyDescent="0.2">
      <c r="A158" t="s">
        <v>170</v>
      </c>
    </row>
    <row r="159" spans="1:1" x14ac:dyDescent="0.2">
      <c r="A159" t="s">
        <v>171</v>
      </c>
    </row>
    <row r="160" spans="1:1" x14ac:dyDescent="0.2">
      <c r="A160" t="s">
        <v>102</v>
      </c>
    </row>
    <row r="161" spans="1:1" x14ac:dyDescent="0.2">
      <c r="A161" t="s">
        <v>172</v>
      </c>
    </row>
    <row r="162" spans="1:1" x14ac:dyDescent="0.2">
      <c r="A162" t="s">
        <v>111</v>
      </c>
    </row>
    <row r="163" spans="1:1" x14ac:dyDescent="0.2">
      <c r="A163" t="s">
        <v>173</v>
      </c>
    </row>
    <row r="164" spans="1:1" x14ac:dyDescent="0.2">
      <c r="A164" t="s">
        <v>174</v>
      </c>
    </row>
    <row r="165" spans="1:1" x14ac:dyDescent="0.2">
      <c r="A165" t="s">
        <v>87</v>
      </c>
    </row>
    <row r="167" spans="1:1" x14ac:dyDescent="0.2">
      <c r="A167" t="s">
        <v>175</v>
      </c>
    </row>
    <row r="168" spans="1:1" x14ac:dyDescent="0.2">
      <c r="A168" t="s">
        <v>176</v>
      </c>
    </row>
    <row r="169" spans="1:1" x14ac:dyDescent="0.2">
      <c r="A169" t="s">
        <v>177</v>
      </c>
    </row>
    <row r="170" spans="1:1" x14ac:dyDescent="0.2">
      <c r="A170" t="s">
        <v>178</v>
      </c>
    </row>
    <row r="171" spans="1:1" x14ac:dyDescent="0.2">
      <c r="A171" t="s">
        <v>179</v>
      </c>
    </row>
    <row r="172" spans="1:1" x14ac:dyDescent="0.2">
      <c r="A172" t="s">
        <v>180</v>
      </c>
    </row>
    <row r="173" spans="1:1" x14ac:dyDescent="0.2">
      <c r="A173" t="s">
        <v>87</v>
      </c>
    </row>
    <row r="176" spans="1:1" ht="19" x14ac:dyDescent="0.25">
      <c r="A176" s="16" t="s">
        <v>181</v>
      </c>
    </row>
    <row r="178" spans="1:1" x14ac:dyDescent="0.2">
      <c r="A178" t="s">
        <v>182</v>
      </c>
    </row>
    <row r="179" spans="1:1" x14ac:dyDescent="0.2">
      <c r="A179" t="s">
        <v>183</v>
      </c>
    </row>
    <row r="180" spans="1:1" x14ac:dyDescent="0.2">
      <c r="A180" t="s">
        <v>184</v>
      </c>
    </row>
    <row r="181" spans="1:1" x14ac:dyDescent="0.2">
      <c r="A181" t="s">
        <v>185</v>
      </c>
    </row>
    <row r="182" spans="1:1" x14ac:dyDescent="0.2">
      <c r="A182" t="s">
        <v>186</v>
      </c>
    </row>
    <row r="183" spans="1:1" x14ac:dyDescent="0.2">
      <c r="A183" t="s">
        <v>187</v>
      </c>
    </row>
    <row r="184" spans="1:1" x14ac:dyDescent="0.2">
      <c r="A184" t="s">
        <v>188</v>
      </c>
    </row>
    <row r="185" spans="1:1" x14ac:dyDescent="0.2">
      <c r="A185" t="s">
        <v>189</v>
      </c>
    </row>
    <row r="186" spans="1:1" x14ac:dyDescent="0.2">
      <c r="A186" t="s">
        <v>190</v>
      </c>
    </row>
    <row r="188" spans="1:1" x14ac:dyDescent="0.2">
      <c r="A188" t="s">
        <v>57</v>
      </c>
    </row>
    <row r="189" spans="1:1" x14ac:dyDescent="0.2">
      <c r="A189" t="s">
        <v>191</v>
      </c>
    </row>
    <row r="190" spans="1:1" x14ac:dyDescent="0.2">
      <c r="A190" t="s">
        <v>192</v>
      </c>
    </row>
    <row r="191" spans="1:1" x14ac:dyDescent="0.2">
      <c r="A191" t="s">
        <v>193</v>
      </c>
    </row>
    <row r="192" spans="1:1" x14ac:dyDescent="0.2">
      <c r="A192" t="s">
        <v>194</v>
      </c>
    </row>
    <row r="193" spans="1:1" x14ac:dyDescent="0.2">
      <c r="A193" t="s">
        <v>195</v>
      </c>
    </row>
    <row r="195" spans="1:1" x14ac:dyDescent="0.2">
      <c r="A195" t="s">
        <v>196</v>
      </c>
    </row>
    <row r="196" spans="1:1" x14ac:dyDescent="0.2">
      <c r="A196" t="s">
        <v>197</v>
      </c>
    </row>
    <row r="197" spans="1:1" x14ac:dyDescent="0.2">
      <c r="A197" t="s">
        <v>198</v>
      </c>
    </row>
    <row r="198" spans="1:1" x14ac:dyDescent="0.2">
      <c r="A198" t="s">
        <v>199</v>
      </c>
    </row>
    <row r="199" spans="1:1" x14ac:dyDescent="0.2">
      <c r="A199" t="s">
        <v>200</v>
      </c>
    </row>
    <row r="200" spans="1:1" x14ac:dyDescent="0.2">
      <c r="A200" t="s">
        <v>201</v>
      </c>
    </row>
    <row r="201" spans="1:1" x14ac:dyDescent="0.2">
      <c r="A201" t="s">
        <v>198</v>
      </c>
    </row>
    <row r="202" spans="1:1" x14ac:dyDescent="0.2">
      <c r="A202" t="s">
        <v>199</v>
      </c>
    </row>
    <row r="204" spans="1:1" x14ac:dyDescent="0.2">
      <c r="A204" t="s">
        <v>202</v>
      </c>
    </row>
    <row r="205" spans="1:1" x14ac:dyDescent="0.2">
      <c r="A205" t="s">
        <v>203</v>
      </c>
    </row>
    <row r="206" spans="1:1" x14ac:dyDescent="0.2">
      <c r="A206" t="s">
        <v>100</v>
      </c>
    </row>
    <row r="208" spans="1:1" x14ac:dyDescent="0.2">
      <c r="A208" t="s">
        <v>204</v>
      </c>
    </row>
    <row r="209" spans="1:1" x14ac:dyDescent="0.2">
      <c r="A209" t="s">
        <v>205</v>
      </c>
    </row>
    <row r="210" spans="1:1" x14ac:dyDescent="0.2">
      <c r="A210" t="s">
        <v>206</v>
      </c>
    </row>
    <row r="211" spans="1:1" x14ac:dyDescent="0.2">
      <c r="A211" t="s">
        <v>207</v>
      </c>
    </row>
    <row r="213" spans="1:1" x14ac:dyDescent="0.2">
      <c r="A213" t="s">
        <v>208</v>
      </c>
    </row>
    <row r="214" spans="1:1" x14ac:dyDescent="0.2">
      <c r="A214" t="s">
        <v>209</v>
      </c>
    </row>
    <row r="215" spans="1:1" x14ac:dyDescent="0.2">
      <c r="A215" t="s">
        <v>210</v>
      </c>
    </row>
    <row r="216" spans="1:1" x14ac:dyDescent="0.2">
      <c r="A216" t="s">
        <v>211</v>
      </c>
    </row>
    <row r="217" spans="1:1" x14ac:dyDescent="0.2">
      <c r="A217" t="s">
        <v>212</v>
      </c>
    </row>
    <row r="218" spans="1:1" x14ac:dyDescent="0.2">
      <c r="A218" t="s">
        <v>213</v>
      </c>
    </row>
    <row r="219" spans="1:1" x14ac:dyDescent="0.2">
      <c r="A219" t="s">
        <v>214</v>
      </c>
    </row>
    <row r="221" spans="1:1" x14ac:dyDescent="0.2">
      <c r="A221" t="s">
        <v>215</v>
      </c>
    </row>
    <row r="222" spans="1:1" x14ac:dyDescent="0.2">
      <c r="A222" t="s">
        <v>216</v>
      </c>
    </row>
    <row r="223" spans="1:1" x14ac:dyDescent="0.2">
      <c r="A223" t="s">
        <v>217</v>
      </c>
    </row>
    <row r="224" spans="1:1" x14ac:dyDescent="0.2">
      <c r="A224" t="s">
        <v>218</v>
      </c>
    </row>
    <row r="225" spans="1:1" x14ac:dyDescent="0.2">
      <c r="A225" t="s">
        <v>219</v>
      </c>
    </row>
    <row r="226" spans="1:1" x14ac:dyDescent="0.2">
      <c r="A226" t="s">
        <v>220</v>
      </c>
    </row>
    <row r="228" spans="1:1" x14ac:dyDescent="0.2">
      <c r="A228" t="s">
        <v>221</v>
      </c>
    </row>
    <row r="229" spans="1:1" x14ac:dyDescent="0.2">
      <c r="A229" t="s">
        <v>102</v>
      </c>
    </row>
    <row r="230" spans="1:1" x14ac:dyDescent="0.2">
      <c r="A230" t="s">
        <v>222</v>
      </c>
    </row>
    <row r="231" spans="1:1" x14ac:dyDescent="0.2">
      <c r="A231" t="s">
        <v>223</v>
      </c>
    </row>
    <row r="232" spans="1:1" x14ac:dyDescent="0.2">
      <c r="A232" t="s">
        <v>224</v>
      </c>
    </row>
    <row r="233" spans="1:1" x14ac:dyDescent="0.2">
      <c r="A233" t="s">
        <v>225</v>
      </c>
    </row>
    <row r="234" spans="1:1" x14ac:dyDescent="0.2">
      <c r="A234" t="s">
        <v>226</v>
      </c>
    </row>
    <row r="235" spans="1:1" x14ac:dyDescent="0.2">
      <c r="A235" t="s">
        <v>227</v>
      </c>
    </row>
    <row r="237" spans="1:1" x14ac:dyDescent="0.2">
      <c r="A237" t="s">
        <v>228</v>
      </c>
    </row>
    <row r="238" spans="1:1" x14ac:dyDescent="0.2">
      <c r="A238" t="s">
        <v>229</v>
      </c>
    </row>
    <row r="239" spans="1:1" x14ac:dyDescent="0.2">
      <c r="A239" t="s">
        <v>230</v>
      </c>
    </row>
    <row r="241" spans="1:1" x14ac:dyDescent="0.2">
      <c r="A241" t="s">
        <v>231</v>
      </c>
    </row>
    <row r="242" spans="1:1" x14ac:dyDescent="0.2">
      <c r="A242" t="s">
        <v>232</v>
      </c>
    </row>
    <row r="243" spans="1:1" x14ac:dyDescent="0.2">
      <c r="A243" t="s">
        <v>233</v>
      </c>
    </row>
    <row r="244" spans="1:1" x14ac:dyDescent="0.2">
      <c r="A244" t="s">
        <v>234</v>
      </c>
    </row>
    <row r="245" spans="1:1" x14ac:dyDescent="0.2">
      <c r="A245" t="s">
        <v>235</v>
      </c>
    </row>
    <row r="246" spans="1:1" x14ac:dyDescent="0.2">
      <c r="A246" t="s">
        <v>236</v>
      </c>
    </row>
    <row r="247" spans="1:1" x14ac:dyDescent="0.2">
      <c r="A247" t="s">
        <v>234</v>
      </c>
    </row>
    <row r="248" spans="1:1" x14ac:dyDescent="0.2">
      <c r="A248" t="s">
        <v>237</v>
      </c>
    </row>
    <row r="249" spans="1:1" x14ac:dyDescent="0.2">
      <c r="A249" t="s">
        <v>238</v>
      </c>
    </row>
    <row r="250" spans="1:1" x14ac:dyDescent="0.2">
      <c r="A250" t="s">
        <v>239</v>
      </c>
    </row>
    <row r="251" spans="1:1" x14ac:dyDescent="0.2">
      <c r="A251" t="s">
        <v>240</v>
      </c>
    </row>
    <row r="252" spans="1:1" x14ac:dyDescent="0.2">
      <c r="A252" t="s">
        <v>241</v>
      </c>
    </row>
    <row r="253" spans="1:1" x14ac:dyDescent="0.2">
      <c r="A253" t="s">
        <v>242</v>
      </c>
    </row>
    <row r="254" spans="1:1" x14ac:dyDescent="0.2">
      <c r="A254" t="s">
        <v>234</v>
      </c>
    </row>
    <row r="255" spans="1:1" x14ac:dyDescent="0.2">
      <c r="A255" t="s">
        <v>243</v>
      </c>
    </row>
    <row r="256" spans="1:1" x14ac:dyDescent="0.2">
      <c r="A256" t="s">
        <v>244</v>
      </c>
    </row>
    <row r="257" spans="1:1" x14ac:dyDescent="0.2">
      <c r="A257" t="s">
        <v>234</v>
      </c>
    </row>
    <row r="258" spans="1:1" x14ac:dyDescent="0.2">
      <c r="A258" t="s">
        <v>245</v>
      </c>
    </row>
    <row r="259" spans="1:1" x14ac:dyDescent="0.2">
      <c r="A259" t="s">
        <v>246</v>
      </c>
    </row>
    <row r="260" spans="1:1" x14ac:dyDescent="0.2">
      <c r="A260" t="s">
        <v>247</v>
      </c>
    </row>
    <row r="261" spans="1:1" x14ac:dyDescent="0.2">
      <c r="A261" t="s">
        <v>137</v>
      </c>
    </row>
    <row r="263" spans="1:1" x14ac:dyDescent="0.2">
      <c r="A263" t="s">
        <v>248</v>
      </c>
    </row>
    <row r="264" spans="1:1" x14ac:dyDescent="0.2">
      <c r="A264" t="s">
        <v>249</v>
      </c>
    </row>
    <row r="265" spans="1:1" x14ac:dyDescent="0.2">
      <c r="A265" t="s">
        <v>250</v>
      </c>
    </row>
    <row r="266" spans="1:1" x14ac:dyDescent="0.2">
      <c r="A266" t="s">
        <v>78</v>
      </c>
    </row>
    <row r="267" spans="1:1" x14ac:dyDescent="0.2">
      <c r="A267" t="s">
        <v>111</v>
      </c>
    </row>
    <row r="269" spans="1:1" x14ac:dyDescent="0.2">
      <c r="A269" t="s">
        <v>251</v>
      </c>
    </row>
    <row r="270" spans="1:1" x14ac:dyDescent="0.2">
      <c r="A270" t="s">
        <v>252</v>
      </c>
    </row>
    <row r="271" spans="1:1" x14ac:dyDescent="0.2">
      <c r="A271" t="s">
        <v>87</v>
      </c>
    </row>
    <row r="273" spans="1:1" x14ac:dyDescent="0.2">
      <c r="A273" t="s">
        <v>253</v>
      </c>
    </row>
    <row r="274" spans="1:1" x14ac:dyDescent="0.2">
      <c r="A274" t="s">
        <v>254</v>
      </c>
    </row>
    <row r="275" spans="1:1" x14ac:dyDescent="0.2">
      <c r="A275" t="s">
        <v>255</v>
      </c>
    </row>
    <row r="276" spans="1:1" x14ac:dyDescent="0.2">
      <c r="A276" t="s">
        <v>256</v>
      </c>
    </row>
    <row r="277" spans="1:1" x14ac:dyDescent="0.2">
      <c r="A277" t="s">
        <v>257</v>
      </c>
    </row>
    <row r="278" spans="1:1" x14ac:dyDescent="0.2">
      <c r="A278" t="s">
        <v>258</v>
      </c>
    </row>
    <row r="279" spans="1:1" x14ac:dyDescent="0.2">
      <c r="A279" t="s">
        <v>259</v>
      </c>
    </row>
    <row r="280" spans="1:1" x14ac:dyDescent="0.2">
      <c r="A280" t="s">
        <v>260</v>
      </c>
    </row>
    <row r="281" spans="1:1" x14ac:dyDescent="0.2">
      <c r="A281" t="s">
        <v>261</v>
      </c>
    </row>
    <row r="282" spans="1:1" x14ac:dyDescent="0.2">
      <c r="A282" t="s">
        <v>262</v>
      </c>
    </row>
    <row r="283" spans="1:1" x14ac:dyDescent="0.2">
      <c r="A283" t="s">
        <v>263</v>
      </c>
    </row>
    <row r="284" spans="1:1" x14ac:dyDescent="0.2">
      <c r="A284" t="s">
        <v>264</v>
      </c>
    </row>
    <row r="285" spans="1:1" x14ac:dyDescent="0.2">
      <c r="A285" t="s">
        <v>265</v>
      </c>
    </row>
    <row r="286" spans="1:1" x14ac:dyDescent="0.2">
      <c r="A286" t="s">
        <v>266</v>
      </c>
    </row>
    <row r="287" spans="1:1" x14ac:dyDescent="0.2">
      <c r="A287" t="s">
        <v>267</v>
      </c>
    </row>
    <row r="288" spans="1:1" x14ac:dyDescent="0.2">
      <c r="A288" t="s">
        <v>87</v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</vt:i4>
      </vt:variant>
    </vt:vector>
  </HeadingPairs>
  <TitlesOfParts>
    <vt:vector size="6" baseType="lpstr">
      <vt:lpstr>Input Data</vt:lpstr>
      <vt:lpstr>Stream Data</vt:lpstr>
      <vt:lpstr>Cascade</vt:lpstr>
      <vt:lpstr>Grid Diagram</vt:lpstr>
      <vt:lpstr>VBA Code</vt:lpstr>
      <vt:lpstr>'Grid Diagram'!Print_Area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Ada Siepmann</dc:creator>
  <cp:keywords/>
  <dc:description/>
  <cp:lastModifiedBy>Ada Siepmann</cp:lastModifiedBy>
  <cp:revision/>
  <dcterms:created xsi:type="dcterms:W3CDTF">2026-09-21T10:48:28Z</dcterms:created>
  <dcterms:modified xsi:type="dcterms:W3CDTF">2026-10-01T17:13:06Z</dcterms:modified>
  <cp:category/>
  <cp:contentStatus/>
</cp:coreProperties>
</file>